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larao\Desktop\DOCUMENTOS SST\TERLICA SST\1. SG SST TERLICA\2021 - SG -SST\Indicadores\"/>
    </mc:Choice>
  </mc:AlternateContent>
  <xr:revisionPtr revIDLastSave="0" documentId="13_ncr:1_{95CEE731-C7A1-470A-B1E6-4FAACEE8083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Indicadores 2021 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25" i="4" l="1"/>
  <c r="J17" i="4"/>
  <c r="I17" i="4"/>
  <c r="H12" i="4"/>
  <c r="H17" i="4"/>
  <c r="G17" i="4" l="1"/>
  <c r="F17" i="4"/>
  <c r="E17" i="4" l="1"/>
  <c r="D12" i="4" l="1"/>
  <c r="D11" i="4"/>
  <c r="D17" i="4" l="1"/>
  <c r="E11" i="4" l="1"/>
  <c r="E12" i="4" l="1"/>
  <c r="K22" i="4" l="1"/>
  <c r="J22" i="4" l="1"/>
  <c r="J24" i="4" s="1"/>
  <c r="L22" i="4"/>
  <c r="M22" i="4"/>
  <c r="N22" i="4"/>
  <c r="O22" i="4"/>
  <c r="J12" i="4" l="1"/>
  <c r="K12" i="4"/>
  <c r="L12" i="4"/>
  <c r="M12" i="4"/>
  <c r="N12" i="4"/>
  <c r="O12" i="4"/>
  <c r="J11" i="4"/>
  <c r="K11" i="4"/>
  <c r="L11" i="4"/>
  <c r="M11" i="4"/>
  <c r="N11" i="4"/>
  <c r="O11" i="4"/>
  <c r="I11" i="4" l="1"/>
  <c r="H11" i="4" l="1"/>
  <c r="G11" i="4" l="1"/>
  <c r="G27" i="4" l="1"/>
  <c r="E27" i="4"/>
  <c r="F27" i="4"/>
  <c r="D27" i="4"/>
  <c r="G12" i="4" l="1"/>
  <c r="I12" i="4"/>
  <c r="D31" i="4" l="1"/>
  <c r="E31" i="4" s="1"/>
  <c r="E30" i="4"/>
  <c r="F30" i="4"/>
  <c r="G30" i="4"/>
  <c r="H30" i="4"/>
  <c r="I30" i="4"/>
  <c r="J30" i="4"/>
  <c r="K30" i="4"/>
  <c r="L30" i="4"/>
  <c r="M30" i="4"/>
  <c r="N30" i="4"/>
  <c r="O30" i="4"/>
  <c r="D30" i="4"/>
  <c r="E29" i="4"/>
  <c r="F29" i="4"/>
  <c r="G29" i="4"/>
  <c r="H29" i="4"/>
  <c r="I29" i="4"/>
  <c r="J29" i="4"/>
  <c r="K29" i="4"/>
  <c r="L29" i="4"/>
  <c r="M29" i="4"/>
  <c r="N29" i="4"/>
  <c r="O29" i="4"/>
  <c r="D29" i="4"/>
  <c r="O170" i="4" l="1"/>
  <c r="N170" i="4"/>
  <c r="M170" i="4"/>
  <c r="L170" i="4"/>
  <c r="K170" i="4"/>
  <c r="J170" i="4"/>
  <c r="I170" i="4"/>
  <c r="H170" i="4"/>
  <c r="G170" i="4"/>
  <c r="F170" i="4"/>
  <c r="E170" i="4"/>
  <c r="D170" i="4"/>
  <c r="O27" i="4"/>
  <c r="N27" i="4"/>
  <c r="M27" i="4"/>
  <c r="L27" i="4"/>
  <c r="K27" i="4"/>
  <c r="J27" i="4"/>
  <c r="I27" i="4"/>
  <c r="H27" i="4"/>
  <c r="O24" i="4"/>
  <c r="N24" i="4"/>
  <c r="M24" i="4"/>
  <c r="L24" i="4"/>
  <c r="K24" i="4"/>
  <c r="I22" i="4"/>
  <c r="I24" i="4" s="1"/>
  <c r="H22" i="4"/>
  <c r="G22" i="4"/>
  <c r="G24" i="4" s="1"/>
  <c r="F22" i="4"/>
  <c r="F24" i="4" s="1"/>
  <c r="E22" i="4"/>
  <c r="E24" i="4" s="1"/>
  <c r="D22" i="4"/>
  <c r="D28" i="4"/>
  <c r="F12" i="4"/>
  <c r="F11" i="4"/>
  <c r="H24" i="4" l="1"/>
  <c r="D169" i="4"/>
  <c r="F31" i="4"/>
  <c r="G31" i="4" s="1"/>
  <c r="H31" i="4" s="1"/>
  <c r="I31" i="4" s="1"/>
  <c r="J31" i="4" s="1"/>
  <c r="K31" i="4" s="1"/>
  <c r="L31" i="4" s="1"/>
  <c r="M31" i="4" s="1"/>
  <c r="N31" i="4" s="1"/>
  <c r="O31" i="4" s="1"/>
  <c r="E28" i="4"/>
  <c r="F28" i="4" s="1"/>
  <c r="G28" i="4" s="1"/>
  <c r="H28" i="4" s="1"/>
  <c r="I28" i="4" s="1"/>
  <c r="J28" i="4" s="1"/>
  <c r="K28" i="4" s="1"/>
  <c r="L28" i="4" s="1"/>
  <c r="M28" i="4" s="1"/>
  <c r="N28" i="4" s="1"/>
  <c r="O28" i="4" s="1"/>
  <c r="D24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CARLOS BUSTAMANTE</author>
    <author>JOSE LARA OSPINO</author>
    <author>configurator</author>
  </authors>
  <commentList>
    <comment ref="E23" authorId="0" shapeId="0" xr:uid="{00000000-0006-0000-0000-000004000000}">
      <text>
        <r>
          <rPr>
            <b/>
            <sz val="11"/>
            <color indexed="81"/>
            <rFont val="Tahoma"/>
            <family val="2"/>
          </rPr>
          <t>Terlica / 46
Supeportuaria / 6
Temporales / 4</t>
        </r>
      </text>
    </comment>
    <comment ref="F23" authorId="1" shapeId="0" xr:uid="{00000000-0006-0000-0000-000005000000}">
      <text>
        <r>
          <rPr>
            <b/>
            <sz val="9"/>
            <color indexed="81"/>
            <rFont val="Tahoma"/>
            <family val="2"/>
          </rPr>
          <t xml:space="preserve">JOSE LARA OSPINO:
Seguridad terlica: 9
Terlica: 37
Superportuaria: 6
Temporales: 4
</t>
        </r>
      </text>
    </comment>
    <comment ref="G23" authorId="1" shapeId="0" xr:uid="{00000000-0006-0000-0000-000006000000}">
      <text>
        <r>
          <rPr>
            <b/>
            <sz val="9"/>
            <color indexed="81"/>
            <rFont val="Tahoma"/>
            <family val="2"/>
          </rPr>
          <t xml:space="preserve">JOSE LARA OSPINO:
Seguridad terlica: 9
Terlica: 37
Superportuaria: 6
Temporales: 4
</t>
        </r>
      </text>
    </comment>
    <comment ref="C28" authorId="2" shapeId="0" xr:uid="{00000000-0006-0000-0000-000007000000}">
      <text>
        <r>
          <rPr>
            <b/>
            <sz val="9"/>
            <color indexed="81"/>
            <rFont val="Tahoma"/>
            <family val="2"/>
          </rPr>
          <t>configurator:</t>
        </r>
        <r>
          <rPr>
            <sz val="9"/>
            <color indexed="81"/>
            <rFont val="Tahoma"/>
            <family val="2"/>
          </rPr>
          <t xml:space="preserve">
Ver hoja de costos</t>
        </r>
      </text>
    </comment>
  </commentList>
</comments>
</file>

<file path=xl/sharedStrings.xml><?xml version="1.0" encoding="utf-8"?>
<sst xmlns="http://schemas.openxmlformats.org/spreadsheetml/2006/main" count="151" uniqueCount="95">
  <si>
    <t>Proceso</t>
  </si>
  <si>
    <t>Nombre Indicador</t>
  </si>
  <si>
    <t>Fórmula</t>
  </si>
  <si>
    <t>Unidad</t>
  </si>
  <si>
    <t>Frecuencia</t>
  </si>
  <si>
    <t>Meta</t>
  </si>
  <si>
    <t>Responsable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</si>
  <si>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</si>
  <si>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</si>
  <si>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</si>
  <si>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</si>
  <si>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</si>
  <si>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</si>
  <si>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</si>
  <si>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</si>
  <si>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</si>
  <si>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</si>
  <si>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</si>
  <si>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</si>
  <si>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Porcentaje</t>
  </si>
  <si>
    <t>Anual</t>
  </si>
  <si>
    <t>Tasa de accidentalidad</t>
  </si>
  <si>
    <t>Mensual</t>
  </si>
  <si>
    <t>Fecha de ultimo Accidente</t>
  </si>
  <si>
    <t>Acumulado dias sin Accidente</t>
  </si>
  <si>
    <t xml:space="preserve">Record </t>
  </si>
  <si>
    <r>
      <t xml:space="preserve">Politica Integral
</t>
    </r>
    <r>
      <rPr>
        <b/>
        <i/>
        <sz val="13"/>
        <color indexed="8"/>
        <rFont val="Calibri"/>
        <family val="2"/>
      </rPr>
      <t xml:space="preserve">
</t>
    </r>
    <r>
      <rPr>
        <i/>
        <sz val="13"/>
        <color indexed="8"/>
        <rFont val="Calibri"/>
        <family val="2"/>
      </rPr>
      <t xml:space="preserve">En TERLICA S.A.S estamos comprometidos con la satisfacción de las necesidades y expectativas de nuestros clientes, mediante la prestación optimizada del servicio de manejo y almacenamiento de gráneles líquidos. </t>
    </r>
    <r>
      <rPr>
        <b/>
        <i/>
        <u/>
        <sz val="13"/>
        <color indexed="10"/>
        <rFont val="Calibri"/>
        <family val="2"/>
      </rPr>
      <t>Trabajamos para mantener condiciones seguras y saludables, previniendo la ocurrencia de incidentes, accidentes de trabajo y la aparición de enfermedades laborales, gestionando los riesgos de la organización para asegurar el bienestar de empleados, contratistas y demás partes interesadas incluyendo cualquier daño a la propiedad;</t>
    </r>
    <r>
      <rPr>
        <i/>
        <sz val="13"/>
        <color indexed="8"/>
        <rFont val="Calibri"/>
        <family val="2"/>
      </rPr>
      <t xml:space="preserve"> así mismo, velamos por la protección y el impacto socio ambiental, a través de la prevención, minimización y control de la contaminación, promovemos un comercio seguro previniendo la ocurrencia de actividades  ilícitas, corrupción y soborno en nuestros procesos.
Para ello, contamos con los recursos necesarios en infraestructuras y equipos adecuados, proveedores idóneos y personal confiable y comprometido con la eficiencia, eficacia, efectividad y el mejoramiento continuo de los procesos desarrollados y el cumplimiento de los requisitos legales aplicables y de otra índole.
</t>
    </r>
  </si>
  <si>
    <t>DATOS</t>
  </si>
  <si>
    <t>Item</t>
  </si>
  <si>
    <t># Incidencia</t>
  </si>
  <si>
    <t># Prevalencia</t>
  </si>
  <si>
    <t>Indice de severidad</t>
  </si>
  <si>
    <t>Indice de frecuencia</t>
  </si>
  <si>
    <t>Accidentes de trabajo con INC.</t>
  </si>
  <si>
    <t>Accidentes de Trabajo sin INC.</t>
  </si>
  <si>
    <t>Dias perdidos por Accid. Trab.</t>
  </si>
  <si>
    <t>Accidentes contratistas</t>
  </si>
  <si>
    <t>Incidentes contratistas</t>
  </si>
  <si>
    <t>Incidencia laborales contratistas</t>
  </si>
  <si>
    <t>Dias perdidos por At Contratistas</t>
  </si>
  <si>
    <t>Total Accidentes de Trabajo</t>
  </si>
  <si>
    <t>No de trabajadores</t>
  </si>
  <si>
    <t>Horas Hombre trabajadas</t>
  </si>
  <si>
    <t>Horas perdidas por AT</t>
  </si>
  <si>
    <t>DATOS ACUMULADOS</t>
  </si>
  <si>
    <t>Horas hombre acumulada</t>
  </si>
  <si>
    <t>Accidentes de trabajo con inc.</t>
  </si>
  <si>
    <t>Dias perdidos por accidente  con incapacidad</t>
  </si>
  <si>
    <t>Objetivo Relacionado</t>
  </si>
  <si>
    <t>Tipo de Indicador</t>
  </si>
  <si>
    <t>ANALISIS INDICADORES</t>
  </si>
  <si>
    <t>PLAN DE ACCIÓN</t>
  </si>
  <si>
    <t>1, 3, 5</t>
  </si>
  <si>
    <t>Numero de at</t>
  </si>
  <si>
    <t>Resultado</t>
  </si>
  <si>
    <t>Numero de dias perdidos</t>
  </si>
  <si>
    <t>Numero</t>
  </si>
  <si>
    <t>Indicador de Incidencia</t>
  </si>
  <si>
    <t>1, 4</t>
  </si>
  <si>
    <t>(Número de enfermedades nuevos en un periodo / Total de población ) x K</t>
  </si>
  <si>
    <t>Indicador de prevalencia</t>
  </si>
  <si>
    <t>(Número de enfermedades nuevos y antiguos en un periodo / Promedio trabajadores en el periodo) x K</t>
  </si>
  <si>
    <t>Tasa de Frecuencia</t>
  </si>
  <si>
    <t>(Numero de accidentes en el mes / Numero de trabajadores en el mes) x 100%</t>
  </si>
  <si>
    <t>Plan de trabajo anual</t>
  </si>
  <si>
    <t>1, 2, 3, 4,5,6,7,8</t>
  </si>
  <si>
    <t>Actividades de plan de trabajo del periodo ejecutadas / Actividades programadas</t>
  </si>
  <si>
    <t>Funcionamiento del Copasst</t>
  </si>
  <si>
    <t>1, 3, 4, 7</t>
  </si>
  <si>
    <t>Reuniones COPASST Ejecutadas / reuniones programadas</t>
  </si>
  <si>
    <t>Estructura</t>
  </si>
  <si>
    <t>Presidente Copasst - Coordinador SST</t>
  </si>
  <si>
    <t>Simulacros realizados</t>
  </si>
  <si>
    <t>1, 6, 7</t>
  </si>
  <si>
    <t>N° de simulacros realizados / Numero de simulacros programados</t>
  </si>
  <si>
    <t>TAR (Incidentes)</t>
  </si>
  <si>
    <t>1, 2, 3, 5, 7, 8</t>
  </si>
  <si>
    <t>Numero de incidentes en TAR / Numero total de incidentes</t>
  </si>
  <si>
    <t>TAR (Accidentes)</t>
  </si>
  <si>
    <t>Numero de accidentes en TAR / numero total de accidentes</t>
  </si>
  <si>
    <t>Cumplimiento de los requisitos legales</t>
  </si>
  <si>
    <t>Numero de requisitos legales aplicables implementados / Numero de requisitos legales aplicables</t>
  </si>
  <si>
    <t>Promedio At</t>
  </si>
  <si>
    <t>Tasa At del sector</t>
  </si>
  <si>
    <t xml:space="preserve">ANEXO 6.10. BALANCE DE GESTIÓN SST
MATRIZ DE INDICADORES
</t>
  </si>
  <si>
    <t>Dias de trabajo programado</t>
  </si>
  <si>
    <t>SUPERVISOR SENIOR SST</t>
  </si>
  <si>
    <t>Proporción de accidentes de trabajo mortales</t>
  </si>
  <si>
    <t>(Número de accidentes de trabajo mortales que se presentaron en el año / Total de accidentes de trabajo que se presentaron en el año ) * 100</t>
  </si>
  <si>
    <t xml:space="preserve">Numero de At mortales </t>
  </si>
  <si>
    <t>anual</t>
  </si>
  <si>
    <t xml:space="preserve"> (Número de accidentes de trabajo que se presentaron en el mes / Número de trabajadores en el mes) * 100</t>
  </si>
  <si>
    <t>(Número de días de incapacidad por accidente de trabajo en el mes + número de días cargados en el mes / Número de trabajadores en el mes) * 100</t>
  </si>
  <si>
    <t>Tasa accidentalidad del Sector 2021</t>
  </si>
  <si>
    <t>2.39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</si>
</sst>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0.0"/>
    <numFmt numFmtId="166" formatCode="[$-240A]d&quot; de &quot;mmmm&quot; de &quot;yyyy;@"/>
  </numFmts>
  <fonts count="3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2"/>
      <color theme="1"/>
      <name val="Arial"/>
      <family val="2"/>
    </font>
    <font>
      <b/>
      <sz val="20"/>
      <color theme="0"/>
      <name val="Calibri"/>
      <family val="2"/>
      <scheme val="minor"/>
    </font>
    <font>
      <sz val="12"/>
      <color theme="1"/>
      <name val="Arial"/>
      <family val="2"/>
    </font>
    <font>
      <b/>
      <sz val="16"/>
      <color theme="1"/>
      <name val="Calibri"/>
      <family val="2"/>
      <scheme val="minor"/>
    </font>
    <font>
      <sz val="14"/>
      <color theme="1"/>
      <name val="Arial"/>
      <family val="2"/>
    </font>
    <font>
      <b/>
      <i/>
      <sz val="12"/>
      <color theme="1"/>
      <name val="Calibri"/>
      <family val="2"/>
      <scheme val="minor"/>
    </font>
    <font>
      <b/>
      <i/>
      <sz val="13"/>
      <color indexed="8"/>
      <name val="Calibri"/>
      <family val="2"/>
    </font>
    <font>
      <i/>
      <sz val="13"/>
      <color indexed="8"/>
      <name val="Calibri"/>
      <family val="2"/>
    </font>
    <font>
      <b/>
      <i/>
      <u/>
      <sz val="13"/>
      <color indexed="10"/>
      <name val="Calibri"/>
      <family val="2"/>
    </font>
    <font>
      <b/>
      <sz val="12"/>
      <color theme="0"/>
      <name val="Arial"/>
      <family val="2"/>
    </font>
    <font>
      <b/>
      <sz val="11"/>
      <name val="Arial"/>
      <family val="2"/>
    </font>
    <font>
      <sz val="12"/>
      <name val="Arial"/>
      <family val="2"/>
    </font>
    <font>
      <b/>
      <i/>
      <sz val="16"/>
      <name val="Arial"/>
      <family val="2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i/>
      <sz val="12"/>
      <name val="Arial"/>
      <family val="2"/>
    </font>
    <font>
      <i/>
      <sz val="14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i/>
      <sz val="14"/>
      <color theme="1"/>
      <name val="Arial"/>
      <family val="2"/>
    </font>
    <font>
      <b/>
      <sz val="14"/>
      <color theme="0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8"/>
      <color rgb="FFFFFFFF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indexed="81"/>
      <name val="Tahoma"/>
      <family val="2"/>
    </font>
    <font>
      <sz val="11"/>
      <color rgb="FF666666"/>
      <name val="Arial"/>
      <family val="2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-0.249977111117893"/>
        <bgColor indexed="64"/>
      </patternFill>
    </fill>
  </fills>
  <borders count="4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dashed">
        <color indexed="64"/>
      </right>
      <top style="thin">
        <color indexed="64"/>
      </top>
      <bottom style="dashed">
        <color indexed="64"/>
      </bottom>
      <diagonal/>
    </border>
    <border>
      <left/>
      <right style="dashed">
        <color indexed="64"/>
      </right>
      <top style="dashed">
        <color indexed="64"/>
      </top>
      <bottom style="dashed">
        <color indexed="64"/>
      </bottom>
      <diagonal/>
    </border>
    <border>
      <left style="thin">
        <color indexed="64"/>
      </left>
      <right style="thin">
        <color indexed="64"/>
      </right>
      <top/>
      <bottom style="dashed">
        <color indexed="64"/>
      </bottom>
      <diagonal/>
    </border>
    <border>
      <left style="dashed">
        <color indexed="64"/>
      </left>
      <right style="dashed">
        <color indexed="64"/>
      </right>
      <top/>
      <bottom style="dashed">
        <color indexed="64"/>
      </bottom>
      <diagonal/>
    </border>
    <border>
      <left style="dashed">
        <color indexed="64"/>
      </left>
      <right style="thin">
        <color indexed="64"/>
      </right>
      <top/>
      <bottom style="dashed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ashed">
        <color indexed="64"/>
      </top>
      <bottom style="dashed">
        <color indexed="64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 style="dashed">
        <color indexed="64"/>
      </left>
      <right style="thin">
        <color indexed="64"/>
      </right>
      <top style="dashed">
        <color indexed="64"/>
      </top>
      <bottom style="dashed">
        <color indexed="64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thin">
        <color indexed="64"/>
      </bottom>
      <diagonal/>
    </border>
    <border>
      <left style="dashed">
        <color indexed="64"/>
      </left>
      <right style="thin">
        <color indexed="64"/>
      </right>
      <top style="dashed">
        <color indexed="64"/>
      </top>
      <bottom style="thin">
        <color indexed="64"/>
      </bottom>
      <diagonal/>
    </border>
    <border>
      <left style="thin">
        <color indexed="64"/>
      </left>
      <right style="dashed">
        <color indexed="64"/>
      </right>
      <top style="thin">
        <color indexed="64"/>
      </top>
      <bottom style="dotted">
        <color indexed="64"/>
      </bottom>
      <diagonal/>
    </border>
    <border>
      <left style="dashed">
        <color indexed="64"/>
      </left>
      <right style="dashed">
        <color indexed="64"/>
      </right>
      <top style="thin">
        <color indexed="64"/>
      </top>
      <bottom style="dotted">
        <color indexed="64"/>
      </bottom>
      <diagonal/>
    </border>
    <border>
      <left style="dashed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dashed">
        <color indexed="64"/>
      </right>
      <top style="dotted">
        <color indexed="64"/>
      </top>
      <bottom style="dotted">
        <color indexed="64"/>
      </bottom>
      <diagonal/>
    </border>
    <border>
      <left style="dashed">
        <color indexed="64"/>
      </left>
      <right style="dashed">
        <color indexed="64"/>
      </right>
      <top style="dotted">
        <color indexed="64"/>
      </top>
      <bottom style="dotted">
        <color indexed="64"/>
      </bottom>
      <diagonal/>
    </border>
    <border>
      <left style="dashed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ashed">
        <color indexed="64"/>
      </top>
      <bottom style="thin">
        <color indexed="64"/>
      </bottom>
      <diagonal/>
    </border>
    <border>
      <left style="dashed">
        <color indexed="64"/>
      </left>
      <right style="dashed">
        <color indexed="64"/>
      </right>
      <top style="dotted">
        <color indexed="64"/>
      </top>
      <bottom style="thin">
        <color indexed="64"/>
      </bottom>
      <diagonal/>
    </border>
    <border>
      <left style="dashed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16" fillId="0" borderId="0"/>
    <xf numFmtId="0" fontId="2" fillId="0" borderId="0"/>
  </cellStyleXfs>
  <cellXfs count="151">
    <xf numFmtId="0" fontId="0" fillId="0" borderId="0" xfId="0"/>
    <xf numFmtId="0" fontId="7" fillId="2" borderId="0" xfId="0" applyFont="1" applyFill="1" applyAlignment="1" applyProtection="1">
      <alignment vertical="center" wrapText="1"/>
      <protection locked="0"/>
    </xf>
    <xf numFmtId="0" fontId="7" fillId="2" borderId="0" xfId="0" applyFont="1" applyFill="1" applyProtection="1">
      <protection locked="0"/>
    </xf>
    <xf numFmtId="0" fontId="7" fillId="2" borderId="0" xfId="0" applyFont="1" applyFill="1" applyAlignment="1" applyProtection="1">
      <alignment horizontal="left" vertical="center"/>
      <protection locked="0"/>
    </xf>
    <xf numFmtId="14" fontId="7" fillId="2" borderId="0" xfId="0" applyNumberFormat="1" applyFont="1" applyFill="1" applyAlignment="1" applyProtection="1">
      <alignment horizontal="left" vertical="center"/>
      <protection locked="0"/>
    </xf>
    <xf numFmtId="0" fontId="9" fillId="2" borderId="0" xfId="0" applyFont="1" applyFill="1" applyAlignment="1" applyProtection="1">
      <alignment horizontal="center" vertical="center"/>
      <protection locked="0"/>
    </xf>
    <xf numFmtId="0" fontId="7" fillId="2" borderId="0" xfId="0" applyFont="1" applyFill="1" applyAlignment="1" applyProtection="1">
      <alignment horizontal="center"/>
      <protection locked="0"/>
    </xf>
    <xf numFmtId="0" fontId="15" fillId="2" borderId="0" xfId="0" applyFont="1" applyFill="1" applyAlignment="1">
      <alignment vertical="center" wrapText="1"/>
    </xf>
    <xf numFmtId="0" fontId="7" fillId="2" borderId="19" xfId="0" applyFont="1" applyFill="1" applyBorder="1" applyAlignment="1" applyProtection="1">
      <alignment vertical="center"/>
      <protection locked="0"/>
    </xf>
    <xf numFmtId="0" fontId="16" fillId="2" borderId="1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 applyProtection="1">
      <alignment vertical="center"/>
      <protection locked="0"/>
    </xf>
    <xf numFmtId="0" fontId="7" fillId="2" borderId="20" xfId="0" applyFont="1" applyFill="1" applyBorder="1" applyAlignment="1" applyProtection="1">
      <alignment horizontal="left" vertical="center" wrapText="1"/>
      <protection locked="0"/>
    </xf>
    <xf numFmtId="0" fontId="17" fillId="4" borderId="0" xfId="0" applyFont="1" applyFill="1" applyAlignment="1">
      <alignment vertical="center" wrapText="1"/>
    </xf>
    <xf numFmtId="0" fontId="18" fillId="2" borderId="21" xfId="0" applyFont="1" applyFill="1" applyBorder="1" applyAlignment="1" applyProtection="1">
      <alignment horizontal="left" vertical="center" wrapText="1"/>
      <protection locked="0"/>
    </xf>
    <xf numFmtId="0" fontId="19" fillId="2" borderId="22" xfId="0" applyFont="1" applyFill="1" applyBorder="1" applyAlignment="1" applyProtection="1">
      <alignment horizontal="center" vertical="center"/>
      <protection locked="0"/>
    </xf>
    <xf numFmtId="0" fontId="19" fillId="2" borderId="23" xfId="0" applyFont="1" applyFill="1" applyBorder="1" applyAlignment="1" applyProtection="1">
      <alignment horizontal="center" vertical="center"/>
      <protection locked="0"/>
    </xf>
    <xf numFmtId="0" fontId="18" fillId="2" borderId="27" xfId="0" applyFont="1" applyFill="1" applyBorder="1" applyAlignment="1" applyProtection="1">
      <alignment horizontal="left" vertical="center" wrapText="1"/>
      <protection locked="0"/>
    </xf>
    <xf numFmtId="0" fontId="18" fillId="2" borderId="28" xfId="0" applyFont="1" applyFill="1" applyBorder="1" applyAlignment="1" applyProtection="1">
      <alignment horizontal="center" vertical="center"/>
      <protection locked="0"/>
    </xf>
    <xf numFmtId="0" fontId="18" fillId="2" borderId="29" xfId="0" applyFont="1" applyFill="1" applyBorder="1" applyAlignment="1" applyProtection="1">
      <alignment horizontal="center" vertical="center"/>
      <protection locked="0"/>
    </xf>
    <xf numFmtId="0" fontId="20" fillId="4" borderId="0" xfId="0" applyFont="1" applyFill="1" applyAlignment="1">
      <alignment vertical="top" wrapText="1"/>
    </xf>
    <xf numFmtId="0" fontId="18" fillId="5" borderId="27" xfId="0" applyFont="1" applyFill="1" applyBorder="1" applyAlignment="1" applyProtection="1">
      <alignment horizontal="left" vertical="center" wrapText="1"/>
      <protection locked="0"/>
    </xf>
    <xf numFmtId="0" fontId="18" fillId="2" borderId="30" xfId="0" applyFont="1" applyFill="1" applyBorder="1" applyAlignment="1" applyProtection="1">
      <alignment horizontal="center" vertical="center"/>
      <protection locked="0"/>
    </xf>
    <xf numFmtId="0" fontId="18" fillId="2" borderId="31" xfId="0" applyFont="1" applyFill="1" applyBorder="1" applyAlignment="1" applyProtection="1">
      <alignment horizontal="center" vertical="center"/>
      <protection locked="0"/>
    </xf>
    <xf numFmtId="0" fontId="18" fillId="2" borderId="8" xfId="0" applyFont="1" applyFill="1" applyBorder="1" applyAlignment="1">
      <alignment horizontal="center" vertical="center"/>
    </xf>
    <xf numFmtId="0" fontId="18" fillId="2" borderId="9" xfId="0" applyFont="1" applyFill="1" applyBorder="1" applyAlignment="1">
      <alignment horizontal="center" vertical="center"/>
    </xf>
    <xf numFmtId="0" fontId="18" fillId="2" borderId="32" xfId="0" applyFont="1" applyFill="1" applyBorder="1" applyAlignment="1">
      <alignment horizontal="center" vertical="center"/>
    </xf>
    <xf numFmtId="0" fontId="18" fillId="2" borderId="33" xfId="0" applyFont="1" applyFill="1" applyBorder="1" applyAlignment="1">
      <alignment horizontal="center" vertical="center"/>
    </xf>
    <xf numFmtId="0" fontId="18" fillId="2" borderId="34" xfId="0" applyFont="1" applyFill="1" applyBorder="1" applyAlignment="1">
      <alignment horizontal="center" vertical="center"/>
    </xf>
    <xf numFmtId="164" fontId="18" fillId="2" borderId="35" xfId="1" applyNumberFormat="1" applyFont="1" applyFill="1" applyBorder="1" applyAlignment="1">
      <alignment horizontal="center" vertical="center"/>
    </xf>
    <xf numFmtId="164" fontId="18" fillId="2" borderId="36" xfId="1" applyNumberFormat="1" applyFont="1" applyFill="1" applyBorder="1" applyAlignment="1">
      <alignment horizontal="center" vertical="center"/>
    </xf>
    <xf numFmtId="164" fontId="18" fillId="2" borderId="37" xfId="1" applyNumberFormat="1" applyFont="1" applyFill="1" applyBorder="1" applyAlignment="1">
      <alignment horizontal="center" vertical="center"/>
    </xf>
    <xf numFmtId="0" fontId="18" fillId="2" borderId="35" xfId="0" applyFont="1" applyFill="1" applyBorder="1" applyAlignment="1">
      <alignment horizontal="center" vertical="center"/>
    </xf>
    <xf numFmtId="0" fontId="18" fillId="2" borderId="36" xfId="0" applyFont="1" applyFill="1" applyBorder="1" applyAlignment="1" applyProtection="1">
      <alignment horizontal="center" vertical="center"/>
      <protection locked="0"/>
    </xf>
    <xf numFmtId="0" fontId="18" fillId="2" borderId="37" xfId="0" applyFont="1" applyFill="1" applyBorder="1" applyAlignment="1" applyProtection="1">
      <alignment horizontal="center" vertical="center"/>
      <protection locked="0"/>
    </xf>
    <xf numFmtId="0" fontId="21" fillId="2" borderId="0" xfId="0" applyFont="1" applyFill="1" applyAlignment="1" applyProtection="1">
      <alignment vertical="top" wrapText="1"/>
      <protection locked="0"/>
    </xf>
    <xf numFmtId="0" fontId="18" fillId="2" borderId="38" xfId="0" applyFont="1" applyFill="1" applyBorder="1" applyAlignment="1" applyProtection="1">
      <alignment horizontal="left" vertical="center" wrapText="1"/>
      <protection locked="0"/>
    </xf>
    <xf numFmtId="0" fontId="18" fillId="2" borderId="39" xfId="0" applyFont="1" applyFill="1" applyBorder="1" applyAlignment="1" applyProtection="1">
      <alignment horizontal="center" vertical="center"/>
      <protection locked="0"/>
    </xf>
    <xf numFmtId="0" fontId="18" fillId="2" borderId="40" xfId="0" applyFont="1" applyFill="1" applyBorder="1" applyAlignment="1" applyProtection="1">
      <alignment horizontal="center" vertical="center"/>
      <protection locked="0"/>
    </xf>
    <xf numFmtId="0" fontId="23" fillId="2" borderId="1" xfId="0" applyFont="1" applyFill="1" applyBorder="1" applyAlignment="1" applyProtection="1">
      <alignment horizontal="left" vertical="center" wrapText="1"/>
      <protection locked="0"/>
    </xf>
    <xf numFmtId="1" fontId="23" fillId="2" borderId="9" xfId="0" applyNumberFormat="1" applyFont="1" applyFill="1" applyBorder="1" applyAlignment="1" applyProtection="1">
      <alignment horizontal="center" vertical="center"/>
      <protection locked="0"/>
    </xf>
    <xf numFmtId="1" fontId="23" fillId="2" borderId="10" xfId="0" applyNumberFormat="1" applyFont="1" applyFill="1" applyBorder="1" applyAlignment="1" applyProtection="1">
      <alignment horizontal="center" vertical="center"/>
      <protection locked="0"/>
    </xf>
    <xf numFmtId="0" fontId="23" fillId="2" borderId="9" xfId="0" applyFont="1" applyFill="1" applyBorder="1" applyAlignment="1" applyProtection="1">
      <alignment horizontal="center" vertical="center"/>
      <protection locked="0"/>
    </xf>
    <xf numFmtId="0" fontId="24" fillId="2" borderId="0" xfId="0" applyFont="1" applyFill="1" applyAlignment="1" applyProtection="1">
      <alignment vertical="top"/>
      <protection locked="0"/>
    </xf>
    <xf numFmtId="0" fontId="22" fillId="2" borderId="1" xfId="0" applyFont="1" applyFill="1" applyBorder="1" applyAlignment="1" applyProtection="1">
      <alignment horizontal="left" vertical="center" wrapText="1"/>
      <protection locked="0"/>
    </xf>
    <xf numFmtId="0" fontId="22" fillId="2" borderId="9" xfId="0" applyFont="1" applyFill="1" applyBorder="1" applyAlignment="1" applyProtection="1">
      <alignment horizontal="center" vertical="center"/>
      <protection locked="0"/>
    </xf>
    <xf numFmtId="0" fontId="22" fillId="2" borderId="10" xfId="0" applyFont="1" applyFill="1" applyBorder="1" applyAlignment="1" applyProtection="1">
      <alignment horizontal="center" vertical="center"/>
      <protection locked="0"/>
    </xf>
    <xf numFmtId="0" fontId="28" fillId="2" borderId="1" xfId="0" applyFont="1" applyFill="1" applyBorder="1" applyAlignment="1">
      <alignment horizontal="center" vertical="center" wrapText="1"/>
    </xf>
    <xf numFmtId="0" fontId="28" fillId="4" borderId="1" xfId="0" applyFont="1" applyFill="1" applyBorder="1" applyAlignment="1">
      <alignment horizontal="center" vertical="center" wrapText="1"/>
    </xf>
    <xf numFmtId="165" fontId="28" fillId="4" borderId="1" xfId="2" applyNumberFormat="1" applyFont="1" applyFill="1" applyBorder="1" applyAlignment="1">
      <alignment horizontal="center" vertical="center"/>
    </xf>
    <xf numFmtId="164" fontId="28" fillId="4" borderId="1" xfId="1" applyNumberFormat="1" applyFont="1" applyFill="1" applyBorder="1" applyAlignment="1">
      <alignment horizontal="center" vertical="center" wrapText="1"/>
    </xf>
    <xf numFmtId="164" fontId="28" fillId="4" borderId="1" xfId="1" applyNumberFormat="1" applyFont="1" applyFill="1" applyBorder="1" applyAlignment="1">
      <alignment horizontal="center" vertical="center"/>
    </xf>
    <xf numFmtId="0" fontId="7" fillId="2" borderId="8" xfId="0" applyFont="1" applyFill="1" applyBorder="1" applyAlignment="1" applyProtection="1">
      <alignment horizontal="right"/>
      <protection locked="0"/>
    </xf>
    <xf numFmtId="165" fontId="7" fillId="2" borderId="9" xfId="0" applyNumberFormat="1" applyFont="1" applyFill="1" applyBorder="1" applyAlignment="1" applyProtection="1">
      <alignment horizontal="center" vertical="center"/>
      <protection locked="0"/>
    </xf>
    <xf numFmtId="165" fontId="7" fillId="2" borderId="10" xfId="0" applyNumberFormat="1" applyFont="1" applyFill="1" applyBorder="1" applyAlignment="1" applyProtection="1">
      <alignment horizontal="center" vertical="center"/>
      <protection locked="0"/>
    </xf>
    <xf numFmtId="164" fontId="7" fillId="2" borderId="9" xfId="1" applyNumberFormat="1" applyFont="1" applyFill="1" applyBorder="1" applyAlignment="1">
      <alignment horizontal="center" vertical="center"/>
    </xf>
    <xf numFmtId="0" fontId="14" fillId="6" borderId="1" xfId="0" applyFont="1" applyFill="1" applyBorder="1" applyAlignment="1" applyProtection="1">
      <alignment horizontal="center" vertical="center"/>
      <protection locked="0"/>
    </xf>
    <xf numFmtId="0" fontId="14" fillId="6" borderId="1" xfId="0" applyFont="1" applyFill="1" applyBorder="1" applyAlignment="1">
      <alignment horizontal="center" vertical="center" wrapText="1"/>
    </xf>
    <xf numFmtId="0" fontId="25" fillId="6" borderId="1" xfId="0" applyFont="1" applyFill="1" applyBorder="1" applyAlignment="1">
      <alignment horizontal="center" vertical="center" wrapText="1"/>
    </xf>
    <xf numFmtId="0" fontId="25" fillId="6" borderId="1" xfId="0" applyFont="1" applyFill="1" applyBorder="1" applyAlignment="1">
      <alignment horizontal="center" vertical="center"/>
    </xf>
    <xf numFmtId="0" fontId="28" fillId="4" borderId="8" xfId="0" applyFont="1" applyFill="1" applyBorder="1" applyAlignment="1">
      <alignment horizontal="center" vertical="center" wrapText="1"/>
    </xf>
    <xf numFmtId="0" fontId="28" fillId="4" borderId="10" xfId="0" applyFont="1" applyFill="1" applyBorder="1" applyAlignment="1">
      <alignment horizontal="center" vertical="center" wrapText="1"/>
    </xf>
    <xf numFmtId="0" fontId="29" fillId="4" borderId="9" xfId="0" applyFont="1" applyFill="1" applyBorder="1" applyAlignment="1">
      <alignment horizontal="left" vertical="center" wrapText="1"/>
    </xf>
    <xf numFmtId="0" fontId="29" fillId="4" borderId="10" xfId="0" applyFont="1" applyFill="1" applyBorder="1" applyAlignment="1">
      <alignment horizontal="left" vertical="center" wrapText="1"/>
    </xf>
    <xf numFmtId="0" fontId="29" fillId="4" borderId="8" xfId="0" applyFont="1" applyFill="1" applyBorder="1" applyAlignment="1">
      <alignment horizontal="left" vertical="center" wrapText="1"/>
    </xf>
    <xf numFmtId="0" fontId="25" fillId="6" borderId="8" xfId="0" applyFont="1" applyFill="1" applyBorder="1" applyAlignment="1" applyProtection="1">
      <alignment horizontal="center" vertical="center" wrapText="1"/>
      <protection locked="0"/>
    </xf>
    <xf numFmtId="0" fontId="25" fillId="6" borderId="10" xfId="0" applyFont="1" applyFill="1" applyBorder="1" applyAlignment="1" applyProtection="1">
      <alignment horizontal="center" vertical="center" wrapText="1"/>
      <protection locked="0"/>
    </xf>
    <xf numFmtId="9" fontId="16" fillId="2" borderId="1" xfId="1" applyFont="1" applyFill="1" applyBorder="1" applyAlignment="1">
      <alignment horizontal="center" vertical="center" wrapText="1"/>
    </xf>
    <xf numFmtId="14" fontId="31" fillId="0" borderId="0" xfId="0" applyNumberFormat="1" applyFont="1"/>
    <xf numFmtId="164" fontId="16" fillId="2" borderId="1" xfId="1" applyNumberFormat="1" applyFont="1" applyFill="1" applyBorder="1" applyAlignment="1">
      <alignment horizontal="center" vertical="center" wrapText="1"/>
    </xf>
    <xf numFmtId="0" fontId="29" fillId="4" borderId="8" xfId="0" applyFont="1" applyFill="1" applyBorder="1" applyAlignment="1">
      <alignment horizontal="left" vertical="center" wrapText="1"/>
    </xf>
    <xf numFmtId="0" fontId="29" fillId="4" borderId="9" xfId="0" applyFont="1" applyFill="1" applyBorder="1" applyAlignment="1">
      <alignment horizontal="left" vertical="center" wrapText="1"/>
    </xf>
    <xf numFmtId="0" fontId="29" fillId="4" borderId="10" xfId="0" applyFont="1" applyFill="1" applyBorder="1" applyAlignment="1">
      <alignment horizontal="left" vertical="center" wrapText="1"/>
    </xf>
    <xf numFmtId="0" fontId="5" fillId="0" borderId="8" xfId="0" applyFont="1" applyBorder="1" applyAlignment="1" applyProtection="1">
      <alignment horizontal="center" vertical="center"/>
      <protection locked="0"/>
    </xf>
    <xf numFmtId="0" fontId="5" fillId="0" borderId="9" xfId="0" applyFont="1" applyBorder="1" applyAlignment="1" applyProtection="1">
      <alignment horizontal="center" vertical="center"/>
      <protection locked="0"/>
    </xf>
    <xf numFmtId="0" fontId="5" fillId="0" borderId="10" xfId="0" applyFont="1" applyBorder="1" applyAlignment="1" applyProtection="1">
      <alignment horizontal="center" vertical="center"/>
      <protection locked="0"/>
    </xf>
    <xf numFmtId="1" fontId="9" fillId="2" borderId="0" xfId="0" applyNumberFormat="1" applyFont="1" applyFill="1" applyAlignment="1" applyProtection="1">
      <alignment horizontal="left" vertical="center"/>
      <protection locked="0"/>
    </xf>
    <xf numFmtId="9" fontId="28" fillId="4" borderId="8" xfId="0" applyNumberFormat="1" applyFont="1" applyFill="1" applyBorder="1" applyAlignment="1">
      <alignment horizontal="center" vertical="center" wrapText="1"/>
    </xf>
    <xf numFmtId="9" fontId="28" fillId="4" borderId="10" xfId="0" applyNumberFormat="1" applyFont="1" applyFill="1" applyBorder="1" applyAlignment="1">
      <alignment horizontal="center" vertical="center" wrapText="1"/>
    </xf>
    <xf numFmtId="1" fontId="7" fillId="2" borderId="0" xfId="0" applyNumberFormat="1" applyFont="1" applyFill="1" applyAlignment="1" applyProtection="1">
      <alignment horizontal="left"/>
      <protection locked="0"/>
    </xf>
    <xf numFmtId="0" fontId="5" fillId="2" borderId="2" xfId="0" applyFont="1" applyFill="1" applyBorder="1" applyAlignment="1" applyProtection="1">
      <alignment horizontal="center" vertical="center"/>
      <protection locked="0"/>
    </xf>
    <xf numFmtId="0" fontId="5" fillId="2" borderId="4" xfId="0" applyFont="1" applyFill="1" applyBorder="1" applyAlignment="1" applyProtection="1">
      <alignment horizontal="center" vertical="center"/>
      <protection locked="0"/>
    </xf>
    <xf numFmtId="0" fontId="5" fillId="2" borderId="5" xfId="0" applyFont="1" applyFill="1" applyBorder="1" applyAlignment="1" applyProtection="1">
      <alignment horizontal="center" vertical="center"/>
      <protection locked="0"/>
    </xf>
    <xf numFmtId="0" fontId="5" fillId="2" borderId="7" xfId="0" applyFont="1" applyFill="1" applyBorder="1" applyAlignment="1" applyProtection="1">
      <alignment horizontal="center" vertical="center"/>
      <protection locked="0"/>
    </xf>
    <xf numFmtId="0" fontId="6" fillId="3" borderId="2" xfId="0" applyFont="1" applyFill="1" applyBorder="1" applyAlignment="1" applyProtection="1">
      <alignment horizontal="center" vertical="center" wrapText="1"/>
      <protection locked="0"/>
    </xf>
    <xf numFmtId="0" fontId="6" fillId="3" borderId="3" xfId="0" applyFont="1" applyFill="1" applyBorder="1" applyAlignment="1" applyProtection="1">
      <alignment horizontal="center" vertical="center" wrapText="1"/>
      <protection locked="0"/>
    </xf>
    <xf numFmtId="0" fontId="6" fillId="3" borderId="4" xfId="0" applyFont="1" applyFill="1" applyBorder="1" applyAlignment="1" applyProtection="1">
      <alignment horizontal="center" vertical="center" wrapText="1"/>
      <protection locked="0"/>
    </xf>
    <xf numFmtId="0" fontId="6" fillId="3" borderId="5" xfId="0" applyFont="1" applyFill="1" applyBorder="1" applyAlignment="1" applyProtection="1">
      <alignment horizontal="center" vertical="center" wrapText="1"/>
      <protection locked="0"/>
    </xf>
    <xf numFmtId="0" fontId="6" fillId="3" borderId="6" xfId="0" applyFont="1" applyFill="1" applyBorder="1" applyAlignment="1" applyProtection="1">
      <alignment horizontal="center" vertical="center" wrapText="1"/>
      <protection locked="0"/>
    </xf>
    <xf numFmtId="0" fontId="6" fillId="3" borderId="7" xfId="0" applyFont="1" applyFill="1" applyBorder="1" applyAlignment="1" applyProtection="1">
      <alignment horizontal="center" vertical="center" wrapText="1"/>
      <protection locked="0"/>
    </xf>
    <xf numFmtId="0" fontId="8" fillId="2" borderId="0" xfId="0" applyFont="1" applyFill="1" applyAlignment="1" applyProtection="1">
      <alignment horizontal="left" vertical="center"/>
      <protection locked="0"/>
    </xf>
    <xf numFmtId="166" fontId="7" fillId="2" borderId="0" xfId="0" applyNumberFormat="1" applyFont="1" applyFill="1" applyAlignment="1" applyProtection="1">
      <alignment horizontal="left"/>
      <protection locked="0"/>
    </xf>
    <xf numFmtId="0" fontId="10" fillId="2" borderId="14" xfId="0" applyFont="1" applyFill="1" applyBorder="1" applyAlignment="1" applyProtection="1">
      <alignment horizontal="left" vertical="top" wrapText="1"/>
      <protection locked="0"/>
    </xf>
    <xf numFmtId="0" fontId="10" fillId="2" borderId="15" xfId="0" applyFont="1" applyFill="1" applyBorder="1" applyAlignment="1" applyProtection="1">
      <alignment horizontal="left" vertical="top" wrapText="1"/>
      <protection locked="0"/>
    </xf>
    <xf numFmtId="0" fontId="10" fillId="2" borderId="16" xfId="0" applyFont="1" applyFill="1" applyBorder="1" applyAlignment="1" applyProtection="1">
      <alignment horizontal="left" vertical="top" wrapText="1"/>
      <protection locked="0"/>
    </xf>
    <xf numFmtId="0" fontId="10" fillId="2" borderId="17" xfId="0" applyFont="1" applyFill="1" applyBorder="1" applyAlignment="1" applyProtection="1">
      <alignment horizontal="left" vertical="top" wrapText="1"/>
      <protection locked="0"/>
    </xf>
    <xf numFmtId="0" fontId="10" fillId="2" borderId="0" xfId="0" applyFont="1" applyFill="1" applyBorder="1" applyAlignment="1" applyProtection="1">
      <alignment horizontal="left" vertical="top" wrapText="1"/>
      <protection locked="0"/>
    </xf>
    <xf numFmtId="0" fontId="10" fillId="2" borderId="18" xfId="0" applyFont="1" applyFill="1" applyBorder="1" applyAlignment="1" applyProtection="1">
      <alignment horizontal="left" vertical="top" wrapText="1"/>
      <protection locked="0"/>
    </xf>
    <xf numFmtId="0" fontId="10" fillId="2" borderId="24" xfId="0" applyFont="1" applyFill="1" applyBorder="1" applyAlignment="1" applyProtection="1">
      <alignment horizontal="left" vertical="top" wrapText="1"/>
      <protection locked="0"/>
    </xf>
    <xf numFmtId="0" fontId="10" fillId="2" borderId="25" xfId="0" applyFont="1" applyFill="1" applyBorder="1" applyAlignment="1" applyProtection="1">
      <alignment horizontal="left" vertical="top" wrapText="1"/>
      <protection locked="0"/>
    </xf>
    <xf numFmtId="0" fontId="10" fillId="2" borderId="26" xfId="0" applyFont="1" applyFill="1" applyBorder="1" applyAlignment="1" applyProtection="1">
      <alignment horizontal="left" vertical="top" wrapText="1"/>
      <protection locked="0"/>
    </xf>
    <xf numFmtId="0" fontId="5" fillId="2" borderId="12" xfId="0" applyFont="1" applyFill="1" applyBorder="1" applyAlignment="1" applyProtection="1">
      <alignment horizontal="center" vertical="center" textRotation="90" wrapText="1"/>
      <protection locked="0"/>
    </xf>
    <xf numFmtId="0" fontId="5" fillId="2" borderId="13" xfId="0" applyFont="1" applyFill="1" applyBorder="1" applyAlignment="1" applyProtection="1">
      <alignment horizontal="center" vertical="center" textRotation="90" wrapText="1"/>
      <protection locked="0"/>
    </xf>
    <xf numFmtId="0" fontId="5" fillId="2" borderId="11" xfId="0" applyFont="1" applyFill="1" applyBorder="1" applyAlignment="1" applyProtection="1">
      <alignment horizontal="center" vertical="center" textRotation="90" wrapText="1"/>
      <protection locked="0"/>
    </xf>
    <xf numFmtId="0" fontId="21" fillId="2" borderId="14" xfId="0" applyFont="1" applyFill="1" applyBorder="1" applyAlignment="1" applyProtection="1">
      <alignment horizontal="left" vertical="top" wrapText="1"/>
      <protection locked="0"/>
    </xf>
    <xf numFmtId="0" fontId="21" fillId="2" borderId="15" xfId="0" applyFont="1" applyFill="1" applyBorder="1" applyAlignment="1" applyProtection="1">
      <alignment horizontal="left" vertical="top" wrapText="1"/>
      <protection locked="0"/>
    </xf>
    <xf numFmtId="0" fontId="21" fillId="2" borderId="16" xfId="0" applyFont="1" applyFill="1" applyBorder="1" applyAlignment="1" applyProtection="1">
      <alignment horizontal="left" vertical="top" wrapText="1"/>
      <protection locked="0"/>
    </xf>
    <xf numFmtId="0" fontId="21" fillId="2" borderId="17" xfId="0" applyFont="1" applyFill="1" applyBorder="1" applyAlignment="1" applyProtection="1">
      <alignment horizontal="left" vertical="top" wrapText="1"/>
      <protection locked="0"/>
    </xf>
    <xf numFmtId="0" fontId="21" fillId="2" borderId="0" xfId="0" applyFont="1" applyFill="1" applyBorder="1" applyAlignment="1" applyProtection="1">
      <alignment horizontal="left" vertical="top" wrapText="1"/>
      <protection locked="0"/>
    </xf>
    <xf numFmtId="0" fontId="21" fillId="2" borderId="18" xfId="0" applyFont="1" applyFill="1" applyBorder="1" applyAlignment="1" applyProtection="1">
      <alignment horizontal="left" vertical="top" wrapText="1"/>
      <protection locked="0"/>
    </xf>
    <xf numFmtId="0" fontId="21" fillId="2" borderId="24" xfId="0" applyFont="1" applyFill="1" applyBorder="1" applyAlignment="1" applyProtection="1">
      <alignment horizontal="left" vertical="top" wrapText="1"/>
      <protection locked="0"/>
    </xf>
    <xf numFmtId="0" fontId="21" fillId="2" borderId="25" xfId="0" applyFont="1" applyFill="1" applyBorder="1" applyAlignment="1" applyProtection="1">
      <alignment horizontal="left" vertical="top" wrapText="1"/>
      <protection locked="0"/>
    </xf>
    <xf numFmtId="0" fontId="21" fillId="2" borderId="26" xfId="0" applyFont="1" applyFill="1" applyBorder="1" applyAlignment="1" applyProtection="1">
      <alignment horizontal="left" vertical="top" wrapText="1"/>
      <protection locked="0"/>
    </xf>
    <xf numFmtId="0" fontId="21" fillId="2" borderId="14" xfId="0" applyFont="1" applyFill="1" applyBorder="1" applyAlignment="1" applyProtection="1">
      <alignment horizontal="center" vertical="top" wrapText="1"/>
      <protection locked="0"/>
    </xf>
    <xf numFmtId="0" fontId="21" fillId="2" borderId="15" xfId="0" applyFont="1" applyFill="1" applyBorder="1" applyAlignment="1" applyProtection="1">
      <alignment horizontal="center" vertical="top" wrapText="1"/>
      <protection locked="0"/>
    </xf>
    <xf numFmtId="0" fontId="21" fillId="2" borderId="16" xfId="0" applyFont="1" applyFill="1" applyBorder="1" applyAlignment="1" applyProtection="1">
      <alignment horizontal="center" vertical="top" wrapText="1"/>
      <protection locked="0"/>
    </xf>
    <xf numFmtId="0" fontId="21" fillId="2" borderId="17" xfId="0" applyFont="1" applyFill="1" applyBorder="1" applyAlignment="1" applyProtection="1">
      <alignment horizontal="center" vertical="top" wrapText="1"/>
      <protection locked="0"/>
    </xf>
    <xf numFmtId="0" fontId="21" fillId="2" borderId="0" xfId="0" applyFont="1" applyFill="1" applyBorder="1" applyAlignment="1" applyProtection="1">
      <alignment horizontal="center" vertical="top" wrapText="1"/>
      <protection locked="0"/>
    </xf>
    <xf numFmtId="0" fontId="21" fillId="2" borderId="18" xfId="0" applyFont="1" applyFill="1" applyBorder="1" applyAlignment="1" applyProtection="1">
      <alignment horizontal="center" vertical="top" wrapText="1"/>
      <protection locked="0"/>
    </xf>
    <xf numFmtId="0" fontId="21" fillId="2" borderId="24" xfId="0" applyFont="1" applyFill="1" applyBorder="1" applyAlignment="1" applyProtection="1">
      <alignment horizontal="center" vertical="top" wrapText="1"/>
      <protection locked="0"/>
    </xf>
    <xf numFmtId="0" fontId="21" fillId="2" borderId="25" xfId="0" applyFont="1" applyFill="1" applyBorder="1" applyAlignment="1" applyProtection="1">
      <alignment horizontal="center" vertical="top" wrapText="1"/>
      <protection locked="0"/>
    </xf>
    <xf numFmtId="0" fontId="21" fillId="2" borderId="26" xfId="0" applyFont="1" applyFill="1" applyBorder="1" applyAlignment="1" applyProtection="1">
      <alignment horizontal="center" vertical="top" wrapText="1"/>
      <protection locked="0"/>
    </xf>
    <xf numFmtId="0" fontId="22" fillId="2" borderId="12" xfId="0" applyFont="1" applyFill="1" applyBorder="1" applyAlignment="1" applyProtection="1">
      <alignment horizontal="center" vertical="center" textRotation="90" wrapText="1"/>
      <protection locked="0"/>
    </xf>
    <xf numFmtId="0" fontId="22" fillId="2" borderId="13" xfId="0" applyFont="1" applyFill="1" applyBorder="1" applyAlignment="1" applyProtection="1">
      <alignment horizontal="center" vertical="center" textRotation="90" wrapText="1"/>
      <protection locked="0"/>
    </xf>
    <xf numFmtId="0" fontId="22" fillId="2" borderId="11" xfId="0" applyFont="1" applyFill="1" applyBorder="1" applyAlignment="1" applyProtection="1">
      <alignment horizontal="center" vertical="center" textRotation="90" wrapText="1"/>
      <protection locked="0"/>
    </xf>
    <xf numFmtId="165" fontId="16" fillId="2" borderId="8" xfId="0" applyNumberFormat="1" applyFont="1" applyFill="1" applyBorder="1" applyAlignment="1">
      <alignment horizontal="center" vertical="center" wrapText="1"/>
    </xf>
    <xf numFmtId="165" fontId="16" fillId="2" borderId="9" xfId="0" applyNumberFormat="1" applyFont="1" applyFill="1" applyBorder="1" applyAlignment="1">
      <alignment horizontal="center" vertical="center" wrapText="1"/>
    </xf>
    <xf numFmtId="165" fontId="16" fillId="2" borderId="10" xfId="0" applyNumberFormat="1" applyFont="1" applyFill="1" applyBorder="1" applyAlignment="1">
      <alignment horizontal="center" vertical="center" wrapText="1"/>
    </xf>
    <xf numFmtId="0" fontId="26" fillId="6" borderId="8" xfId="0" applyFont="1" applyFill="1" applyBorder="1" applyAlignment="1">
      <alignment horizontal="center" vertical="center"/>
    </xf>
    <xf numFmtId="0" fontId="26" fillId="6" borderId="9" xfId="0" applyFont="1" applyFill="1" applyBorder="1" applyAlignment="1">
      <alignment horizontal="center" vertical="center"/>
    </xf>
    <xf numFmtId="0" fontId="26" fillId="6" borderId="10" xfId="0" applyFont="1" applyFill="1" applyBorder="1" applyAlignment="1">
      <alignment horizontal="center" vertical="center"/>
    </xf>
    <xf numFmtId="0" fontId="27" fillId="6" borderId="5" xfId="0" applyFont="1" applyFill="1" applyBorder="1" applyAlignment="1" applyProtection="1">
      <alignment horizontal="center" vertical="center"/>
      <protection locked="0"/>
    </xf>
    <xf numFmtId="0" fontId="27" fillId="6" borderId="6" xfId="0" applyFont="1" applyFill="1" applyBorder="1" applyAlignment="1" applyProtection="1">
      <alignment horizontal="center" vertical="center"/>
      <protection locked="0"/>
    </xf>
    <xf numFmtId="0" fontId="28" fillId="4" borderId="8" xfId="0" applyFont="1" applyFill="1" applyBorder="1" applyAlignment="1">
      <alignment horizontal="center" vertical="center" wrapText="1"/>
    </xf>
    <xf numFmtId="0" fontId="28" fillId="4" borderId="10" xfId="0" applyFont="1" applyFill="1" applyBorder="1" applyAlignment="1">
      <alignment horizontal="center" vertical="center" wrapText="1"/>
    </xf>
    <xf numFmtId="0" fontId="28" fillId="4" borderId="9" xfId="0" applyFont="1" applyFill="1" applyBorder="1" applyAlignment="1">
      <alignment horizontal="center" vertical="center" wrapText="1"/>
    </xf>
    <xf numFmtId="0" fontId="29" fillId="4" borderId="8" xfId="0" applyFont="1" applyFill="1" applyBorder="1" applyAlignment="1">
      <alignment horizontal="left" vertical="center" wrapText="1"/>
    </xf>
    <xf numFmtId="0" fontId="29" fillId="4" borderId="9" xfId="0" applyFont="1" applyFill="1" applyBorder="1" applyAlignment="1">
      <alignment horizontal="left" vertical="center" wrapText="1"/>
    </xf>
    <xf numFmtId="0" fontId="29" fillId="4" borderId="10" xfId="0" applyFont="1" applyFill="1" applyBorder="1" applyAlignment="1">
      <alignment horizontal="left" vertical="center" wrapText="1"/>
    </xf>
    <xf numFmtId="0" fontId="5" fillId="0" borderId="8" xfId="0" applyFont="1" applyBorder="1" applyAlignment="1" applyProtection="1">
      <alignment horizontal="center" vertical="center"/>
      <protection locked="0"/>
    </xf>
    <xf numFmtId="0" fontId="5" fillId="0" borderId="9" xfId="0" applyFont="1" applyBorder="1" applyAlignment="1" applyProtection="1">
      <alignment horizontal="center" vertical="center"/>
      <protection locked="0"/>
    </xf>
    <xf numFmtId="0" fontId="5" fillId="0" borderId="10" xfId="0" applyFont="1" applyBorder="1" applyAlignment="1" applyProtection="1">
      <alignment horizontal="center" vertical="center"/>
      <protection locked="0"/>
    </xf>
    <xf numFmtId="0" fontId="25" fillId="6" borderId="8" xfId="0" applyFont="1" applyFill="1" applyBorder="1" applyAlignment="1">
      <alignment horizontal="center" vertical="center" wrapText="1"/>
    </xf>
    <xf numFmtId="0" fontId="25" fillId="6" borderId="10" xfId="0" applyFont="1" applyFill="1" applyBorder="1" applyAlignment="1">
      <alignment horizontal="center" vertical="center" wrapText="1"/>
    </xf>
    <xf numFmtId="0" fontId="25" fillId="6" borderId="8" xfId="0" applyFont="1" applyFill="1" applyBorder="1" applyAlignment="1" applyProtection="1">
      <alignment horizontal="center" vertical="center"/>
      <protection locked="0"/>
    </xf>
    <xf numFmtId="0" fontId="25" fillId="6" borderId="9" xfId="0" applyFont="1" applyFill="1" applyBorder="1" applyAlignment="1" applyProtection="1">
      <alignment horizontal="center" vertical="center"/>
      <protection locked="0"/>
    </xf>
    <xf numFmtId="0" fontId="25" fillId="6" borderId="10" xfId="0" applyFont="1" applyFill="1" applyBorder="1" applyAlignment="1" applyProtection="1">
      <alignment horizontal="center" vertical="center"/>
      <protection locked="0"/>
    </xf>
    <xf numFmtId="0" fontId="25" fillId="6" borderId="8" xfId="0" applyFont="1" applyFill="1" applyBorder="1" applyAlignment="1" applyProtection="1">
      <alignment horizontal="center" vertical="center" wrapText="1"/>
      <protection locked="0"/>
    </xf>
    <xf numFmtId="0" fontId="25" fillId="6" borderId="10" xfId="0" applyFont="1" applyFill="1" applyBorder="1" applyAlignment="1" applyProtection="1">
      <alignment horizontal="center" vertical="center" wrapText="1"/>
      <protection locked="0"/>
    </xf>
    <xf numFmtId="0" fontId="28" fillId="4" borderId="8" xfId="0" applyFont="1" applyFill="1" applyBorder="1" applyAlignment="1">
      <alignment horizontal="left" vertical="center" wrapText="1"/>
    </xf>
    <xf numFmtId="0" fontId="28" fillId="4" borderId="9" xfId="0" applyFont="1" applyFill="1" applyBorder="1" applyAlignment="1">
      <alignment horizontal="left" vertical="center" wrapText="1"/>
    </xf>
    <xf numFmtId="0" fontId="28" fillId="4" borderId="10" xfId="0" applyFont="1" applyFill="1" applyBorder="1" applyAlignment="1">
      <alignment horizontal="left" vertical="center" wrapText="1"/>
    </xf>
  </cellXfs>
  <cellStyles count="4">
    <cellStyle name="Normal" xfId="0" builtinId="0"/>
    <cellStyle name="Normal 2" xfId="2" xr:uid="{00000000-0005-0000-0000-000001000000}"/>
    <cellStyle name="Normal 5" xfId="3" xr:uid="{00000000-0005-0000-0000-000002000000}"/>
    <cellStyle name="Porcentaje" xfId="1" builtinId="5"/>
  </cellStyles>
  <dxfs count="2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../media/image1.png"/><Relationship Id="rId1" Type="http://schemas.openxmlformats.org/officeDocument/2006/relationships/hyperlink" Target="#'CUADRO DE MANDO'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219075</xdr:colOff>
      <xdr:row>0</xdr:row>
      <xdr:rowOff>247650</xdr:rowOff>
    </xdr:from>
    <xdr:to>
      <xdr:col>17</xdr:col>
      <xdr:colOff>553571</xdr:colOff>
      <xdr:row>2</xdr:row>
      <xdr:rowOff>0</xdr:rowOff>
    </xdr:to>
    <xdr:pic>
      <xdr:nvPicPr>
        <xdr:cNvPr id="2" name="2 Imagen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247650"/>
          <a:ext cx="752475" cy="762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152400</xdr:colOff>
      <xdr:row>0</xdr:row>
      <xdr:rowOff>104775</xdr:rowOff>
    </xdr:from>
    <xdr:to>
      <xdr:col>3</xdr:col>
      <xdr:colOff>0</xdr:colOff>
      <xdr:row>2</xdr:row>
      <xdr:rowOff>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4825" y="104775"/>
          <a:ext cx="2428875" cy="1247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BB170"/>
  <sheetViews>
    <sheetView tabSelected="1" topLeftCell="A25" zoomScale="85" zoomScaleNormal="85" workbookViewId="0">
      <selection activeCell="G25" sqref="G25"/>
    </sheetView>
  </sheetViews>
  <sheetFormatPr baseColWidth="10" defaultRowHeight="15" x14ac:dyDescent="0.2"/>
  <cols>
    <col min="1" max="1" width="5.28515625" style="2" customWidth="1"/>
    <col min="2" max="2" width="5.85546875" style="2" customWidth="1"/>
    <col min="3" max="3" width="34.85546875" style="2" customWidth="1"/>
    <col min="4" max="4" width="18.140625" style="2" bestFit="1" customWidth="1"/>
    <col min="5" max="5" width="16.7109375" style="2" customWidth="1"/>
    <col min="6" max="7" width="9.7109375" style="2" customWidth="1"/>
    <col min="8" max="8" width="13.28515625" style="2" bestFit="1" customWidth="1"/>
    <col min="9" max="15" width="9.7109375" style="2" customWidth="1"/>
    <col min="16" max="16" width="5.7109375" style="2" customWidth="1"/>
    <col min="17" max="17" width="6.28515625" style="2" customWidth="1"/>
    <col min="18" max="18" width="14" style="2" customWidth="1"/>
    <col min="19" max="19" width="12.85546875" style="2" customWidth="1"/>
    <col min="20" max="20" width="10" style="2" customWidth="1"/>
    <col min="21" max="32" width="10.7109375" style="2" customWidth="1"/>
    <col min="33" max="33" width="38.42578125" style="2" customWidth="1"/>
    <col min="34" max="34" width="17" style="2" customWidth="1"/>
    <col min="35" max="37" width="11.42578125" style="2"/>
    <col min="38" max="38" width="9.42578125" style="2" customWidth="1"/>
    <col min="39" max="39" width="11.42578125" style="2" customWidth="1"/>
    <col min="40" max="40" width="50.28515625" style="2" customWidth="1"/>
    <col min="41" max="42" width="11.42578125" style="2"/>
    <col min="43" max="43" width="15.42578125" style="2" customWidth="1"/>
    <col min="44" max="256" width="11.42578125" style="2"/>
    <col min="257" max="257" width="5.28515625" style="2" customWidth="1"/>
    <col min="258" max="258" width="5.85546875" style="2" customWidth="1"/>
    <col min="259" max="259" width="34.85546875" style="2" customWidth="1"/>
    <col min="260" max="260" width="8.85546875" style="2" customWidth="1"/>
    <col min="261" max="261" width="14.7109375" style="2" bestFit="1" customWidth="1"/>
    <col min="262" max="271" width="9.7109375" style="2" customWidth="1"/>
    <col min="272" max="272" width="5.7109375" style="2" customWidth="1"/>
    <col min="273" max="273" width="6.28515625" style="2" customWidth="1"/>
    <col min="274" max="274" width="7.7109375" style="2" customWidth="1"/>
    <col min="275" max="275" width="8.42578125" style="2" customWidth="1"/>
    <col min="276" max="276" width="10" style="2" customWidth="1"/>
    <col min="277" max="288" width="10.7109375" style="2" customWidth="1"/>
    <col min="289" max="289" width="38.42578125" style="2" customWidth="1"/>
    <col min="290" max="290" width="17" style="2" customWidth="1"/>
    <col min="291" max="293" width="11.42578125" style="2"/>
    <col min="294" max="294" width="9.42578125" style="2" customWidth="1"/>
    <col min="295" max="295" width="11.42578125" style="2" customWidth="1"/>
    <col min="296" max="296" width="50.28515625" style="2" customWidth="1"/>
    <col min="297" max="298" width="11.42578125" style="2"/>
    <col min="299" max="299" width="15.42578125" style="2" customWidth="1"/>
    <col min="300" max="512" width="11.42578125" style="2"/>
    <col min="513" max="513" width="5.28515625" style="2" customWidth="1"/>
    <col min="514" max="514" width="5.85546875" style="2" customWidth="1"/>
    <col min="515" max="515" width="34.85546875" style="2" customWidth="1"/>
    <col min="516" max="516" width="8.85546875" style="2" customWidth="1"/>
    <col min="517" max="517" width="14.7109375" style="2" bestFit="1" customWidth="1"/>
    <col min="518" max="527" width="9.7109375" style="2" customWidth="1"/>
    <col min="528" max="528" width="5.7109375" style="2" customWidth="1"/>
    <col min="529" max="529" width="6.28515625" style="2" customWidth="1"/>
    <col min="530" max="530" width="7.7109375" style="2" customWidth="1"/>
    <col min="531" max="531" width="8.42578125" style="2" customWidth="1"/>
    <col min="532" max="532" width="10" style="2" customWidth="1"/>
    <col min="533" max="544" width="10.7109375" style="2" customWidth="1"/>
    <col min="545" max="545" width="38.42578125" style="2" customWidth="1"/>
    <col min="546" max="546" width="17" style="2" customWidth="1"/>
    <col min="547" max="549" width="11.42578125" style="2"/>
    <col min="550" max="550" width="9.42578125" style="2" customWidth="1"/>
    <col min="551" max="551" width="11.42578125" style="2" customWidth="1"/>
    <col min="552" max="552" width="50.28515625" style="2" customWidth="1"/>
    <col min="553" max="554" width="11.42578125" style="2"/>
    <col min="555" max="555" width="15.42578125" style="2" customWidth="1"/>
    <col min="556" max="768" width="11.42578125" style="2"/>
    <col min="769" max="769" width="5.28515625" style="2" customWidth="1"/>
    <col min="770" max="770" width="5.85546875" style="2" customWidth="1"/>
    <col min="771" max="771" width="34.85546875" style="2" customWidth="1"/>
    <col min="772" max="772" width="8.85546875" style="2" customWidth="1"/>
    <col min="773" max="773" width="14.7109375" style="2" bestFit="1" customWidth="1"/>
    <col min="774" max="783" width="9.7109375" style="2" customWidth="1"/>
    <col min="784" max="784" width="5.7109375" style="2" customWidth="1"/>
    <col min="785" max="785" width="6.28515625" style="2" customWidth="1"/>
    <col min="786" max="786" width="7.7109375" style="2" customWidth="1"/>
    <col min="787" max="787" width="8.42578125" style="2" customWidth="1"/>
    <col min="788" max="788" width="10" style="2" customWidth="1"/>
    <col min="789" max="800" width="10.7109375" style="2" customWidth="1"/>
    <col min="801" max="801" width="38.42578125" style="2" customWidth="1"/>
    <col min="802" max="802" width="17" style="2" customWidth="1"/>
    <col min="803" max="805" width="11.42578125" style="2"/>
    <col min="806" max="806" width="9.42578125" style="2" customWidth="1"/>
    <col min="807" max="807" width="11.42578125" style="2" customWidth="1"/>
    <col min="808" max="808" width="50.28515625" style="2" customWidth="1"/>
    <col min="809" max="810" width="11.42578125" style="2"/>
    <col min="811" max="811" width="15.42578125" style="2" customWidth="1"/>
    <col min="812" max="1024" width="11.42578125" style="2"/>
    <col min="1025" max="1025" width="5.28515625" style="2" customWidth="1"/>
    <col min="1026" max="1026" width="5.85546875" style="2" customWidth="1"/>
    <col min="1027" max="1027" width="34.85546875" style="2" customWidth="1"/>
    <col min="1028" max="1028" width="8.85546875" style="2" customWidth="1"/>
    <col min="1029" max="1029" width="14.7109375" style="2" bestFit="1" customWidth="1"/>
    <col min="1030" max="1039" width="9.7109375" style="2" customWidth="1"/>
    <col min="1040" max="1040" width="5.7109375" style="2" customWidth="1"/>
    <col min="1041" max="1041" width="6.28515625" style="2" customWidth="1"/>
    <col min="1042" max="1042" width="7.7109375" style="2" customWidth="1"/>
    <col min="1043" max="1043" width="8.42578125" style="2" customWidth="1"/>
    <col min="1044" max="1044" width="10" style="2" customWidth="1"/>
    <col min="1045" max="1056" width="10.7109375" style="2" customWidth="1"/>
    <col min="1057" max="1057" width="38.42578125" style="2" customWidth="1"/>
    <col min="1058" max="1058" width="17" style="2" customWidth="1"/>
    <col min="1059" max="1061" width="11.42578125" style="2"/>
    <col min="1062" max="1062" width="9.42578125" style="2" customWidth="1"/>
    <col min="1063" max="1063" width="11.42578125" style="2" customWidth="1"/>
    <col min="1064" max="1064" width="50.28515625" style="2" customWidth="1"/>
    <col min="1065" max="1066" width="11.42578125" style="2"/>
    <col min="1067" max="1067" width="15.42578125" style="2" customWidth="1"/>
    <col min="1068" max="1280" width="11.42578125" style="2"/>
    <col min="1281" max="1281" width="5.28515625" style="2" customWidth="1"/>
    <col min="1282" max="1282" width="5.85546875" style="2" customWidth="1"/>
    <col min="1283" max="1283" width="34.85546875" style="2" customWidth="1"/>
    <col min="1284" max="1284" width="8.85546875" style="2" customWidth="1"/>
    <col min="1285" max="1285" width="14.7109375" style="2" bestFit="1" customWidth="1"/>
    <col min="1286" max="1295" width="9.7109375" style="2" customWidth="1"/>
    <col min="1296" max="1296" width="5.7109375" style="2" customWidth="1"/>
    <col min="1297" max="1297" width="6.28515625" style="2" customWidth="1"/>
    <col min="1298" max="1298" width="7.7109375" style="2" customWidth="1"/>
    <col min="1299" max="1299" width="8.42578125" style="2" customWidth="1"/>
    <col min="1300" max="1300" width="10" style="2" customWidth="1"/>
    <col min="1301" max="1312" width="10.7109375" style="2" customWidth="1"/>
    <col min="1313" max="1313" width="38.42578125" style="2" customWidth="1"/>
    <col min="1314" max="1314" width="17" style="2" customWidth="1"/>
    <col min="1315" max="1317" width="11.42578125" style="2"/>
    <col min="1318" max="1318" width="9.42578125" style="2" customWidth="1"/>
    <col min="1319" max="1319" width="11.42578125" style="2" customWidth="1"/>
    <col min="1320" max="1320" width="50.28515625" style="2" customWidth="1"/>
    <col min="1321" max="1322" width="11.42578125" style="2"/>
    <col min="1323" max="1323" width="15.42578125" style="2" customWidth="1"/>
    <col min="1324" max="1536" width="11.42578125" style="2"/>
    <col min="1537" max="1537" width="5.28515625" style="2" customWidth="1"/>
    <col min="1538" max="1538" width="5.85546875" style="2" customWidth="1"/>
    <col min="1539" max="1539" width="34.85546875" style="2" customWidth="1"/>
    <col min="1540" max="1540" width="8.85546875" style="2" customWidth="1"/>
    <col min="1541" max="1541" width="14.7109375" style="2" bestFit="1" customWidth="1"/>
    <col min="1542" max="1551" width="9.7109375" style="2" customWidth="1"/>
    <col min="1552" max="1552" width="5.7109375" style="2" customWidth="1"/>
    <col min="1553" max="1553" width="6.28515625" style="2" customWidth="1"/>
    <col min="1554" max="1554" width="7.7109375" style="2" customWidth="1"/>
    <col min="1555" max="1555" width="8.42578125" style="2" customWidth="1"/>
    <col min="1556" max="1556" width="10" style="2" customWidth="1"/>
    <col min="1557" max="1568" width="10.7109375" style="2" customWidth="1"/>
    <col min="1569" max="1569" width="38.42578125" style="2" customWidth="1"/>
    <col min="1570" max="1570" width="17" style="2" customWidth="1"/>
    <col min="1571" max="1573" width="11.42578125" style="2"/>
    <col min="1574" max="1574" width="9.42578125" style="2" customWidth="1"/>
    <col min="1575" max="1575" width="11.42578125" style="2" customWidth="1"/>
    <col min="1576" max="1576" width="50.28515625" style="2" customWidth="1"/>
    <col min="1577" max="1578" width="11.42578125" style="2"/>
    <col min="1579" max="1579" width="15.42578125" style="2" customWidth="1"/>
    <col min="1580" max="1792" width="11.42578125" style="2"/>
    <col min="1793" max="1793" width="5.28515625" style="2" customWidth="1"/>
    <col min="1794" max="1794" width="5.85546875" style="2" customWidth="1"/>
    <col min="1795" max="1795" width="34.85546875" style="2" customWidth="1"/>
    <col min="1796" max="1796" width="8.85546875" style="2" customWidth="1"/>
    <col min="1797" max="1797" width="14.7109375" style="2" bestFit="1" customWidth="1"/>
    <col min="1798" max="1807" width="9.7109375" style="2" customWidth="1"/>
    <col min="1808" max="1808" width="5.7109375" style="2" customWidth="1"/>
    <col min="1809" max="1809" width="6.28515625" style="2" customWidth="1"/>
    <col min="1810" max="1810" width="7.7109375" style="2" customWidth="1"/>
    <col min="1811" max="1811" width="8.42578125" style="2" customWidth="1"/>
    <col min="1812" max="1812" width="10" style="2" customWidth="1"/>
    <col min="1813" max="1824" width="10.7109375" style="2" customWidth="1"/>
    <col min="1825" max="1825" width="38.42578125" style="2" customWidth="1"/>
    <col min="1826" max="1826" width="17" style="2" customWidth="1"/>
    <col min="1827" max="1829" width="11.42578125" style="2"/>
    <col min="1830" max="1830" width="9.42578125" style="2" customWidth="1"/>
    <col min="1831" max="1831" width="11.42578125" style="2" customWidth="1"/>
    <col min="1832" max="1832" width="50.28515625" style="2" customWidth="1"/>
    <col min="1833" max="1834" width="11.42578125" style="2"/>
    <col min="1835" max="1835" width="15.42578125" style="2" customWidth="1"/>
    <col min="1836" max="2048" width="11.42578125" style="2"/>
    <col min="2049" max="2049" width="5.28515625" style="2" customWidth="1"/>
    <col min="2050" max="2050" width="5.85546875" style="2" customWidth="1"/>
    <col min="2051" max="2051" width="34.85546875" style="2" customWidth="1"/>
    <col min="2052" max="2052" width="8.85546875" style="2" customWidth="1"/>
    <col min="2053" max="2053" width="14.7109375" style="2" bestFit="1" customWidth="1"/>
    <col min="2054" max="2063" width="9.7109375" style="2" customWidth="1"/>
    <col min="2064" max="2064" width="5.7109375" style="2" customWidth="1"/>
    <col min="2065" max="2065" width="6.28515625" style="2" customWidth="1"/>
    <col min="2066" max="2066" width="7.7109375" style="2" customWidth="1"/>
    <col min="2067" max="2067" width="8.42578125" style="2" customWidth="1"/>
    <col min="2068" max="2068" width="10" style="2" customWidth="1"/>
    <col min="2069" max="2080" width="10.7109375" style="2" customWidth="1"/>
    <col min="2081" max="2081" width="38.42578125" style="2" customWidth="1"/>
    <col min="2082" max="2082" width="17" style="2" customWidth="1"/>
    <col min="2083" max="2085" width="11.42578125" style="2"/>
    <col min="2086" max="2086" width="9.42578125" style="2" customWidth="1"/>
    <col min="2087" max="2087" width="11.42578125" style="2" customWidth="1"/>
    <col min="2088" max="2088" width="50.28515625" style="2" customWidth="1"/>
    <col min="2089" max="2090" width="11.42578125" style="2"/>
    <col min="2091" max="2091" width="15.42578125" style="2" customWidth="1"/>
    <col min="2092" max="2304" width="11.42578125" style="2"/>
    <col min="2305" max="2305" width="5.28515625" style="2" customWidth="1"/>
    <col min="2306" max="2306" width="5.85546875" style="2" customWidth="1"/>
    <col min="2307" max="2307" width="34.85546875" style="2" customWidth="1"/>
    <col min="2308" max="2308" width="8.85546875" style="2" customWidth="1"/>
    <col min="2309" max="2309" width="14.7109375" style="2" bestFit="1" customWidth="1"/>
    <col min="2310" max="2319" width="9.7109375" style="2" customWidth="1"/>
    <col min="2320" max="2320" width="5.7109375" style="2" customWidth="1"/>
    <col min="2321" max="2321" width="6.28515625" style="2" customWidth="1"/>
    <col min="2322" max="2322" width="7.7109375" style="2" customWidth="1"/>
    <col min="2323" max="2323" width="8.42578125" style="2" customWidth="1"/>
    <col min="2324" max="2324" width="10" style="2" customWidth="1"/>
    <col min="2325" max="2336" width="10.7109375" style="2" customWidth="1"/>
    <col min="2337" max="2337" width="38.42578125" style="2" customWidth="1"/>
    <col min="2338" max="2338" width="17" style="2" customWidth="1"/>
    <col min="2339" max="2341" width="11.42578125" style="2"/>
    <col min="2342" max="2342" width="9.42578125" style="2" customWidth="1"/>
    <col min="2343" max="2343" width="11.42578125" style="2" customWidth="1"/>
    <col min="2344" max="2344" width="50.28515625" style="2" customWidth="1"/>
    <col min="2345" max="2346" width="11.42578125" style="2"/>
    <col min="2347" max="2347" width="15.42578125" style="2" customWidth="1"/>
    <col min="2348" max="2560" width="11.42578125" style="2"/>
    <col min="2561" max="2561" width="5.28515625" style="2" customWidth="1"/>
    <col min="2562" max="2562" width="5.85546875" style="2" customWidth="1"/>
    <col min="2563" max="2563" width="34.85546875" style="2" customWidth="1"/>
    <col min="2564" max="2564" width="8.85546875" style="2" customWidth="1"/>
    <col min="2565" max="2565" width="14.7109375" style="2" bestFit="1" customWidth="1"/>
    <col min="2566" max="2575" width="9.7109375" style="2" customWidth="1"/>
    <col min="2576" max="2576" width="5.7109375" style="2" customWidth="1"/>
    <col min="2577" max="2577" width="6.28515625" style="2" customWidth="1"/>
    <col min="2578" max="2578" width="7.7109375" style="2" customWidth="1"/>
    <col min="2579" max="2579" width="8.42578125" style="2" customWidth="1"/>
    <col min="2580" max="2580" width="10" style="2" customWidth="1"/>
    <col min="2581" max="2592" width="10.7109375" style="2" customWidth="1"/>
    <col min="2593" max="2593" width="38.42578125" style="2" customWidth="1"/>
    <col min="2594" max="2594" width="17" style="2" customWidth="1"/>
    <col min="2595" max="2597" width="11.42578125" style="2"/>
    <col min="2598" max="2598" width="9.42578125" style="2" customWidth="1"/>
    <col min="2599" max="2599" width="11.42578125" style="2" customWidth="1"/>
    <col min="2600" max="2600" width="50.28515625" style="2" customWidth="1"/>
    <col min="2601" max="2602" width="11.42578125" style="2"/>
    <col min="2603" max="2603" width="15.42578125" style="2" customWidth="1"/>
    <col min="2604" max="2816" width="11.42578125" style="2"/>
    <col min="2817" max="2817" width="5.28515625" style="2" customWidth="1"/>
    <col min="2818" max="2818" width="5.85546875" style="2" customWidth="1"/>
    <col min="2819" max="2819" width="34.85546875" style="2" customWidth="1"/>
    <col min="2820" max="2820" width="8.85546875" style="2" customWidth="1"/>
    <col min="2821" max="2821" width="14.7109375" style="2" bestFit="1" customWidth="1"/>
    <col min="2822" max="2831" width="9.7109375" style="2" customWidth="1"/>
    <col min="2832" max="2832" width="5.7109375" style="2" customWidth="1"/>
    <col min="2833" max="2833" width="6.28515625" style="2" customWidth="1"/>
    <col min="2834" max="2834" width="7.7109375" style="2" customWidth="1"/>
    <col min="2835" max="2835" width="8.42578125" style="2" customWidth="1"/>
    <col min="2836" max="2836" width="10" style="2" customWidth="1"/>
    <col min="2837" max="2848" width="10.7109375" style="2" customWidth="1"/>
    <col min="2849" max="2849" width="38.42578125" style="2" customWidth="1"/>
    <col min="2850" max="2850" width="17" style="2" customWidth="1"/>
    <col min="2851" max="2853" width="11.42578125" style="2"/>
    <col min="2854" max="2854" width="9.42578125" style="2" customWidth="1"/>
    <col min="2855" max="2855" width="11.42578125" style="2" customWidth="1"/>
    <col min="2856" max="2856" width="50.28515625" style="2" customWidth="1"/>
    <col min="2857" max="2858" width="11.42578125" style="2"/>
    <col min="2859" max="2859" width="15.42578125" style="2" customWidth="1"/>
    <col min="2860" max="3072" width="11.42578125" style="2"/>
    <col min="3073" max="3073" width="5.28515625" style="2" customWidth="1"/>
    <col min="3074" max="3074" width="5.85546875" style="2" customWidth="1"/>
    <col min="3075" max="3075" width="34.85546875" style="2" customWidth="1"/>
    <col min="3076" max="3076" width="8.85546875" style="2" customWidth="1"/>
    <col min="3077" max="3077" width="14.7109375" style="2" bestFit="1" customWidth="1"/>
    <col min="3078" max="3087" width="9.7109375" style="2" customWidth="1"/>
    <col min="3088" max="3088" width="5.7109375" style="2" customWidth="1"/>
    <col min="3089" max="3089" width="6.28515625" style="2" customWidth="1"/>
    <col min="3090" max="3090" width="7.7109375" style="2" customWidth="1"/>
    <col min="3091" max="3091" width="8.42578125" style="2" customWidth="1"/>
    <col min="3092" max="3092" width="10" style="2" customWidth="1"/>
    <col min="3093" max="3104" width="10.7109375" style="2" customWidth="1"/>
    <col min="3105" max="3105" width="38.42578125" style="2" customWidth="1"/>
    <col min="3106" max="3106" width="17" style="2" customWidth="1"/>
    <col min="3107" max="3109" width="11.42578125" style="2"/>
    <col min="3110" max="3110" width="9.42578125" style="2" customWidth="1"/>
    <col min="3111" max="3111" width="11.42578125" style="2" customWidth="1"/>
    <col min="3112" max="3112" width="50.28515625" style="2" customWidth="1"/>
    <col min="3113" max="3114" width="11.42578125" style="2"/>
    <col min="3115" max="3115" width="15.42578125" style="2" customWidth="1"/>
    <col min="3116" max="3328" width="11.42578125" style="2"/>
    <col min="3329" max="3329" width="5.28515625" style="2" customWidth="1"/>
    <col min="3330" max="3330" width="5.85546875" style="2" customWidth="1"/>
    <col min="3331" max="3331" width="34.85546875" style="2" customWidth="1"/>
    <col min="3332" max="3332" width="8.85546875" style="2" customWidth="1"/>
    <col min="3333" max="3333" width="14.7109375" style="2" bestFit="1" customWidth="1"/>
    <col min="3334" max="3343" width="9.7109375" style="2" customWidth="1"/>
    <col min="3344" max="3344" width="5.7109375" style="2" customWidth="1"/>
    <col min="3345" max="3345" width="6.28515625" style="2" customWidth="1"/>
    <col min="3346" max="3346" width="7.7109375" style="2" customWidth="1"/>
    <col min="3347" max="3347" width="8.42578125" style="2" customWidth="1"/>
    <col min="3348" max="3348" width="10" style="2" customWidth="1"/>
    <col min="3349" max="3360" width="10.7109375" style="2" customWidth="1"/>
    <col min="3361" max="3361" width="38.42578125" style="2" customWidth="1"/>
    <col min="3362" max="3362" width="17" style="2" customWidth="1"/>
    <col min="3363" max="3365" width="11.42578125" style="2"/>
    <col min="3366" max="3366" width="9.42578125" style="2" customWidth="1"/>
    <col min="3367" max="3367" width="11.42578125" style="2" customWidth="1"/>
    <col min="3368" max="3368" width="50.28515625" style="2" customWidth="1"/>
    <col min="3369" max="3370" width="11.42578125" style="2"/>
    <col min="3371" max="3371" width="15.42578125" style="2" customWidth="1"/>
    <col min="3372" max="3584" width="11.42578125" style="2"/>
    <col min="3585" max="3585" width="5.28515625" style="2" customWidth="1"/>
    <col min="3586" max="3586" width="5.85546875" style="2" customWidth="1"/>
    <col min="3587" max="3587" width="34.85546875" style="2" customWidth="1"/>
    <col min="3588" max="3588" width="8.85546875" style="2" customWidth="1"/>
    <col min="3589" max="3589" width="14.7109375" style="2" bestFit="1" customWidth="1"/>
    <col min="3590" max="3599" width="9.7109375" style="2" customWidth="1"/>
    <col min="3600" max="3600" width="5.7109375" style="2" customWidth="1"/>
    <col min="3601" max="3601" width="6.28515625" style="2" customWidth="1"/>
    <col min="3602" max="3602" width="7.7109375" style="2" customWidth="1"/>
    <col min="3603" max="3603" width="8.42578125" style="2" customWidth="1"/>
    <col min="3604" max="3604" width="10" style="2" customWidth="1"/>
    <col min="3605" max="3616" width="10.7109375" style="2" customWidth="1"/>
    <col min="3617" max="3617" width="38.42578125" style="2" customWidth="1"/>
    <col min="3618" max="3618" width="17" style="2" customWidth="1"/>
    <col min="3619" max="3621" width="11.42578125" style="2"/>
    <col min="3622" max="3622" width="9.42578125" style="2" customWidth="1"/>
    <col min="3623" max="3623" width="11.42578125" style="2" customWidth="1"/>
    <col min="3624" max="3624" width="50.28515625" style="2" customWidth="1"/>
    <col min="3625" max="3626" width="11.42578125" style="2"/>
    <col min="3627" max="3627" width="15.42578125" style="2" customWidth="1"/>
    <col min="3628" max="3840" width="11.42578125" style="2"/>
    <col min="3841" max="3841" width="5.28515625" style="2" customWidth="1"/>
    <col min="3842" max="3842" width="5.85546875" style="2" customWidth="1"/>
    <col min="3843" max="3843" width="34.85546875" style="2" customWidth="1"/>
    <col min="3844" max="3844" width="8.85546875" style="2" customWidth="1"/>
    <col min="3845" max="3845" width="14.7109375" style="2" bestFit="1" customWidth="1"/>
    <col min="3846" max="3855" width="9.7109375" style="2" customWidth="1"/>
    <col min="3856" max="3856" width="5.7109375" style="2" customWidth="1"/>
    <col min="3857" max="3857" width="6.28515625" style="2" customWidth="1"/>
    <col min="3858" max="3858" width="7.7109375" style="2" customWidth="1"/>
    <col min="3859" max="3859" width="8.42578125" style="2" customWidth="1"/>
    <col min="3860" max="3860" width="10" style="2" customWidth="1"/>
    <col min="3861" max="3872" width="10.7109375" style="2" customWidth="1"/>
    <col min="3873" max="3873" width="38.42578125" style="2" customWidth="1"/>
    <col min="3874" max="3874" width="17" style="2" customWidth="1"/>
    <col min="3875" max="3877" width="11.42578125" style="2"/>
    <col min="3878" max="3878" width="9.42578125" style="2" customWidth="1"/>
    <col min="3879" max="3879" width="11.42578125" style="2" customWidth="1"/>
    <col min="3880" max="3880" width="50.28515625" style="2" customWidth="1"/>
    <col min="3881" max="3882" width="11.42578125" style="2"/>
    <col min="3883" max="3883" width="15.42578125" style="2" customWidth="1"/>
    <col min="3884" max="4096" width="11.42578125" style="2"/>
    <col min="4097" max="4097" width="5.28515625" style="2" customWidth="1"/>
    <col min="4098" max="4098" width="5.85546875" style="2" customWidth="1"/>
    <col min="4099" max="4099" width="34.85546875" style="2" customWidth="1"/>
    <col min="4100" max="4100" width="8.85546875" style="2" customWidth="1"/>
    <col min="4101" max="4101" width="14.7109375" style="2" bestFit="1" customWidth="1"/>
    <col min="4102" max="4111" width="9.7109375" style="2" customWidth="1"/>
    <col min="4112" max="4112" width="5.7109375" style="2" customWidth="1"/>
    <col min="4113" max="4113" width="6.28515625" style="2" customWidth="1"/>
    <col min="4114" max="4114" width="7.7109375" style="2" customWidth="1"/>
    <col min="4115" max="4115" width="8.42578125" style="2" customWidth="1"/>
    <col min="4116" max="4116" width="10" style="2" customWidth="1"/>
    <col min="4117" max="4128" width="10.7109375" style="2" customWidth="1"/>
    <col min="4129" max="4129" width="38.42578125" style="2" customWidth="1"/>
    <col min="4130" max="4130" width="17" style="2" customWidth="1"/>
    <col min="4131" max="4133" width="11.42578125" style="2"/>
    <col min="4134" max="4134" width="9.42578125" style="2" customWidth="1"/>
    <col min="4135" max="4135" width="11.42578125" style="2" customWidth="1"/>
    <col min="4136" max="4136" width="50.28515625" style="2" customWidth="1"/>
    <col min="4137" max="4138" width="11.42578125" style="2"/>
    <col min="4139" max="4139" width="15.42578125" style="2" customWidth="1"/>
    <col min="4140" max="4352" width="11.42578125" style="2"/>
    <col min="4353" max="4353" width="5.28515625" style="2" customWidth="1"/>
    <col min="4354" max="4354" width="5.85546875" style="2" customWidth="1"/>
    <col min="4355" max="4355" width="34.85546875" style="2" customWidth="1"/>
    <col min="4356" max="4356" width="8.85546875" style="2" customWidth="1"/>
    <col min="4357" max="4357" width="14.7109375" style="2" bestFit="1" customWidth="1"/>
    <col min="4358" max="4367" width="9.7109375" style="2" customWidth="1"/>
    <col min="4368" max="4368" width="5.7109375" style="2" customWidth="1"/>
    <col min="4369" max="4369" width="6.28515625" style="2" customWidth="1"/>
    <col min="4370" max="4370" width="7.7109375" style="2" customWidth="1"/>
    <col min="4371" max="4371" width="8.42578125" style="2" customWidth="1"/>
    <col min="4372" max="4372" width="10" style="2" customWidth="1"/>
    <col min="4373" max="4384" width="10.7109375" style="2" customWidth="1"/>
    <col min="4385" max="4385" width="38.42578125" style="2" customWidth="1"/>
    <col min="4386" max="4386" width="17" style="2" customWidth="1"/>
    <col min="4387" max="4389" width="11.42578125" style="2"/>
    <col min="4390" max="4390" width="9.42578125" style="2" customWidth="1"/>
    <col min="4391" max="4391" width="11.42578125" style="2" customWidth="1"/>
    <col min="4392" max="4392" width="50.28515625" style="2" customWidth="1"/>
    <col min="4393" max="4394" width="11.42578125" style="2"/>
    <col min="4395" max="4395" width="15.42578125" style="2" customWidth="1"/>
    <col min="4396" max="4608" width="11.42578125" style="2"/>
    <col min="4609" max="4609" width="5.28515625" style="2" customWidth="1"/>
    <col min="4610" max="4610" width="5.85546875" style="2" customWidth="1"/>
    <col min="4611" max="4611" width="34.85546875" style="2" customWidth="1"/>
    <col min="4612" max="4612" width="8.85546875" style="2" customWidth="1"/>
    <col min="4613" max="4613" width="14.7109375" style="2" bestFit="1" customWidth="1"/>
    <col min="4614" max="4623" width="9.7109375" style="2" customWidth="1"/>
    <col min="4624" max="4624" width="5.7109375" style="2" customWidth="1"/>
    <col min="4625" max="4625" width="6.28515625" style="2" customWidth="1"/>
    <col min="4626" max="4626" width="7.7109375" style="2" customWidth="1"/>
    <col min="4627" max="4627" width="8.42578125" style="2" customWidth="1"/>
    <col min="4628" max="4628" width="10" style="2" customWidth="1"/>
    <col min="4629" max="4640" width="10.7109375" style="2" customWidth="1"/>
    <col min="4641" max="4641" width="38.42578125" style="2" customWidth="1"/>
    <col min="4642" max="4642" width="17" style="2" customWidth="1"/>
    <col min="4643" max="4645" width="11.42578125" style="2"/>
    <col min="4646" max="4646" width="9.42578125" style="2" customWidth="1"/>
    <col min="4647" max="4647" width="11.42578125" style="2" customWidth="1"/>
    <col min="4648" max="4648" width="50.28515625" style="2" customWidth="1"/>
    <col min="4649" max="4650" width="11.42578125" style="2"/>
    <col min="4651" max="4651" width="15.42578125" style="2" customWidth="1"/>
    <col min="4652" max="4864" width="11.42578125" style="2"/>
    <col min="4865" max="4865" width="5.28515625" style="2" customWidth="1"/>
    <col min="4866" max="4866" width="5.85546875" style="2" customWidth="1"/>
    <col min="4867" max="4867" width="34.85546875" style="2" customWidth="1"/>
    <col min="4868" max="4868" width="8.85546875" style="2" customWidth="1"/>
    <col min="4869" max="4869" width="14.7109375" style="2" bestFit="1" customWidth="1"/>
    <col min="4870" max="4879" width="9.7109375" style="2" customWidth="1"/>
    <col min="4880" max="4880" width="5.7109375" style="2" customWidth="1"/>
    <col min="4881" max="4881" width="6.28515625" style="2" customWidth="1"/>
    <col min="4882" max="4882" width="7.7109375" style="2" customWidth="1"/>
    <col min="4883" max="4883" width="8.42578125" style="2" customWidth="1"/>
    <col min="4884" max="4884" width="10" style="2" customWidth="1"/>
    <col min="4885" max="4896" width="10.7109375" style="2" customWidth="1"/>
    <col min="4897" max="4897" width="38.42578125" style="2" customWidth="1"/>
    <col min="4898" max="4898" width="17" style="2" customWidth="1"/>
    <col min="4899" max="4901" width="11.42578125" style="2"/>
    <col min="4902" max="4902" width="9.42578125" style="2" customWidth="1"/>
    <col min="4903" max="4903" width="11.42578125" style="2" customWidth="1"/>
    <col min="4904" max="4904" width="50.28515625" style="2" customWidth="1"/>
    <col min="4905" max="4906" width="11.42578125" style="2"/>
    <col min="4907" max="4907" width="15.42578125" style="2" customWidth="1"/>
    <col min="4908" max="5120" width="11.42578125" style="2"/>
    <col min="5121" max="5121" width="5.28515625" style="2" customWidth="1"/>
    <col min="5122" max="5122" width="5.85546875" style="2" customWidth="1"/>
    <col min="5123" max="5123" width="34.85546875" style="2" customWidth="1"/>
    <col min="5124" max="5124" width="8.85546875" style="2" customWidth="1"/>
    <col min="5125" max="5125" width="14.7109375" style="2" bestFit="1" customWidth="1"/>
    <col min="5126" max="5135" width="9.7109375" style="2" customWidth="1"/>
    <col min="5136" max="5136" width="5.7109375" style="2" customWidth="1"/>
    <col min="5137" max="5137" width="6.28515625" style="2" customWidth="1"/>
    <col min="5138" max="5138" width="7.7109375" style="2" customWidth="1"/>
    <col min="5139" max="5139" width="8.42578125" style="2" customWidth="1"/>
    <col min="5140" max="5140" width="10" style="2" customWidth="1"/>
    <col min="5141" max="5152" width="10.7109375" style="2" customWidth="1"/>
    <col min="5153" max="5153" width="38.42578125" style="2" customWidth="1"/>
    <col min="5154" max="5154" width="17" style="2" customWidth="1"/>
    <col min="5155" max="5157" width="11.42578125" style="2"/>
    <col min="5158" max="5158" width="9.42578125" style="2" customWidth="1"/>
    <col min="5159" max="5159" width="11.42578125" style="2" customWidth="1"/>
    <col min="5160" max="5160" width="50.28515625" style="2" customWidth="1"/>
    <col min="5161" max="5162" width="11.42578125" style="2"/>
    <col min="5163" max="5163" width="15.42578125" style="2" customWidth="1"/>
    <col min="5164" max="5376" width="11.42578125" style="2"/>
    <col min="5377" max="5377" width="5.28515625" style="2" customWidth="1"/>
    <col min="5378" max="5378" width="5.85546875" style="2" customWidth="1"/>
    <col min="5379" max="5379" width="34.85546875" style="2" customWidth="1"/>
    <col min="5380" max="5380" width="8.85546875" style="2" customWidth="1"/>
    <col min="5381" max="5381" width="14.7109375" style="2" bestFit="1" customWidth="1"/>
    <col min="5382" max="5391" width="9.7109375" style="2" customWidth="1"/>
    <col min="5392" max="5392" width="5.7109375" style="2" customWidth="1"/>
    <col min="5393" max="5393" width="6.28515625" style="2" customWidth="1"/>
    <col min="5394" max="5394" width="7.7109375" style="2" customWidth="1"/>
    <col min="5395" max="5395" width="8.42578125" style="2" customWidth="1"/>
    <col min="5396" max="5396" width="10" style="2" customWidth="1"/>
    <col min="5397" max="5408" width="10.7109375" style="2" customWidth="1"/>
    <col min="5409" max="5409" width="38.42578125" style="2" customWidth="1"/>
    <col min="5410" max="5410" width="17" style="2" customWidth="1"/>
    <col min="5411" max="5413" width="11.42578125" style="2"/>
    <col min="5414" max="5414" width="9.42578125" style="2" customWidth="1"/>
    <col min="5415" max="5415" width="11.42578125" style="2" customWidth="1"/>
    <col min="5416" max="5416" width="50.28515625" style="2" customWidth="1"/>
    <col min="5417" max="5418" width="11.42578125" style="2"/>
    <col min="5419" max="5419" width="15.42578125" style="2" customWidth="1"/>
    <col min="5420" max="5632" width="11.42578125" style="2"/>
    <col min="5633" max="5633" width="5.28515625" style="2" customWidth="1"/>
    <col min="5634" max="5634" width="5.85546875" style="2" customWidth="1"/>
    <col min="5635" max="5635" width="34.85546875" style="2" customWidth="1"/>
    <col min="5636" max="5636" width="8.85546875" style="2" customWidth="1"/>
    <col min="5637" max="5637" width="14.7109375" style="2" bestFit="1" customWidth="1"/>
    <col min="5638" max="5647" width="9.7109375" style="2" customWidth="1"/>
    <col min="5648" max="5648" width="5.7109375" style="2" customWidth="1"/>
    <col min="5649" max="5649" width="6.28515625" style="2" customWidth="1"/>
    <col min="5650" max="5650" width="7.7109375" style="2" customWidth="1"/>
    <col min="5651" max="5651" width="8.42578125" style="2" customWidth="1"/>
    <col min="5652" max="5652" width="10" style="2" customWidth="1"/>
    <col min="5653" max="5664" width="10.7109375" style="2" customWidth="1"/>
    <col min="5665" max="5665" width="38.42578125" style="2" customWidth="1"/>
    <col min="5666" max="5666" width="17" style="2" customWidth="1"/>
    <col min="5667" max="5669" width="11.42578125" style="2"/>
    <col min="5670" max="5670" width="9.42578125" style="2" customWidth="1"/>
    <col min="5671" max="5671" width="11.42578125" style="2" customWidth="1"/>
    <col min="5672" max="5672" width="50.28515625" style="2" customWidth="1"/>
    <col min="5673" max="5674" width="11.42578125" style="2"/>
    <col min="5675" max="5675" width="15.42578125" style="2" customWidth="1"/>
    <col min="5676" max="5888" width="11.42578125" style="2"/>
    <col min="5889" max="5889" width="5.28515625" style="2" customWidth="1"/>
    <col min="5890" max="5890" width="5.85546875" style="2" customWidth="1"/>
    <col min="5891" max="5891" width="34.85546875" style="2" customWidth="1"/>
    <col min="5892" max="5892" width="8.85546875" style="2" customWidth="1"/>
    <col min="5893" max="5893" width="14.7109375" style="2" bestFit="1" customWidth="1"/>
    <col min="5894" max="5903" width="9.7109375" style="2" customWidth="1"/>
    <col min="5904" max="5904" width="5.7109375" style="2" customWidth="1"/>
    <col min="5905" max="5905" width="6.28515625" style="2" customWidth="1"/>
    <col min="5906" max="5906" width="7.7109375" style="2" customWidth="1"/>
    <col min="5907" max="5907" width="8.42578125" style="2" customWidth="1"/>
    <col min="5908" max="5908" width="10" style="2" customWidth="1"/>
    <col min="5909" max="5920" width="10.7109375" style="2" customWidth="1"/>
    <col min="5921" max="5921" width="38.42578125" style="2" customWidth="1"/>
    <col min="5922" max="5922" width="17" style="2" customWidth="1"/>
    <col min="5923" max="5925" width="11.42578125" style="2"/>
    <col min="5926" max="5926" width="9.42578125" style="2" customWidth="1"/>
    <col min="5927" max="5927" width="11.42578125" style="2" customWidth="1"/>
    <col min="5928" max="5928" width="50.28515625" style="2" customWidth="1"/>
    <col min="5929" max="5930" width="11.42578125" style="2"/>
    <col min="5931" max="5931" width="15.42578125" style="2" customWidth="1"/>
    <col min="5932" max="6144" width="11.42578125" style="2"/>
    <col min="6145" max="6145" width="5.28515625" style="2" customWidth="1"/>
    <col min="6146" max="6146" width="5.85546875" style="2" customWidth="1"/>
    <col min="6147" max="6147" width="34.85546875" style="2" customWidth="1"/>
    <col min="6148" max="6148" width="8.85546875" style="2" customWidth="1"/>
    <col min="6149" max="6149" width="14.7109375" style="2" bestFit="1" customWidth="1"/>
    <col min="6150" max="6159" width="9.7109375" style="2" customWidth="1"/>
    <col min="6160" max="6160" width="5.7109375" style="2" customWidth="1"/>
    <col min="6161" max="6161" width="6.28515625" style="2" customWidth="1"/>
    <col min="6162" max="6162" width="7.7109375" style="2" customWidth="1"/>
    <col min="6163" max="6163" width="8.42578125" style="2" customWidth="1"/>
    <col min="6164" max="6164" width="10" style="2" customWidth="1"/>
    <col min="6165" max="6176" width="10.7109375" style="2" customWidth="1"/>
    <col min="6177" max="6177" width="38.42578125" style="2" customWidth="1"/>
    <col min="6178" max="6178" width="17" style="2" customWidth="1"/>
    <col min="6179" max="6181" width="11.42578125" style="2"/>
    <col min="6182" max="6182" width="9.42578125" style="2" customWidth="1"/>
    <col min="6183" max="6183" width="11.42578125" style="2" customWidth="1"/>
    <col min="6184" max="6184" width="50.28515625" style="2" customWidth="1"/>
    <col min="6185" max="6186" width="11.42578125" style="2"/>
    <col min="6187" max="6187" width="15.42578125" style="2" customWidth="1"/>
    <col min="6188" max="6400" width="11.42578125" style="2"/>
    <col min="6401" max="6401" width="5.28515625" style="2" customWidth="1"/>
    <col min="6402" max="6402" width="5.85546875" style="2" customWidth="1"/>
    <col min="6403" max="6403" width="34.85546875" style="2" customWidth="1"/>
    <col min="6404" max="6404" width="8.85546875" style="2" customWidth="1"/>
    <col min="6405" max="6405" width="14.7109375" style="2" bestFit="1" customWidth="1"/>
    <col min="6406" max="6415" width="9.7109375" style="2" customWidth="1"/>
    <col min="6416" max="6416" width="5.7109375" style="2" customWidth="1"/>
    <col min="6417" max="6417" width="6.28515625" style="2" customWidth="1"/>
    <col min="6418" max="6418" width="7.7109375" style="2" customWidth="1"/>
    <col min="6419" max="6419" width="8.42578125" style="2" customWidth="1"/>
    <col min="6420" max="6420" width="10" style="2" customWidth="1"/>
    <col min="6421" max="6432" width="10.7109375" style="2" customWidth="1"/>
    <col min="6433" max="6433" width="38.42578125" style="2" customWidth="1"/>
    <col min="6434" max="6434" width="17" style="2" customWidth="1"/>
    <col min="6435" max="6437" width="11.42578125" style="2"/>
    <col min="6438" max="6438" width="9.42578125" style="2" customWidth="1"/>
    <col min="6439" max="6439" width="11.42578125" style="2" customWidth="1"/>
    <col min="6440" max="6440" width="50.28515625" style="2" customWidth="1"/>
    <col min="6441" max="6442" width="11.42578125" style="2"/>
    <col min="6443" max="6443" width="15.42578125" style="2" customWidth="1"/>
    <col min="6444" max="6656" width="11.42578125" style="2"/>
    <col min="6657" max="6657" width="5.28515625" style="2" customWidth="1"/>
    <col min="6658" max="6658" width="5.85546875" style="2" customWidth="1"/>
    <col min="6659" max="6659" width="34.85546875" style="2" customWidth="1"/>
    <col min="6660" max="6660" width="8.85546875" style="2" customWidth="1"/>
    <col min="6661" max="6661" width="14.7109375" style="2" bestFit="1" customWidth="1"/>
    <col min="6662" max="6671" width="9.7109375" style="2" customWidth="1"/>
    <col min="6672" max="6672" width="5.7109375" style="2" customWidth="1"/>
    <col min="6673" max="6673" width="6.28515625" style="2" customWidth="1"/>
    <col min="6674" max="6674" width="7.7109375" style="2" customWidth="1"/>
    <col min="6675" max="6675" width="8.42578125" style="2" customWidth="1"/>
    <col min="6676" max="6676" width="10" style="2" customWidth="1"/>
    <col min="6677" max="6688" width="10.7109375" style="2" customWidth="1"/>
    <col min="6689" max="6689" width="38.42578125" style="2" customWidth="1"/>
    <col min="6690" max="6690" width="17" style="2" customWidth="1"/>
    <col min="6691" max="6693" width="11.42578125" style="2"/>
    <col min="6694" max="6694" width="9.42578125" style="2" customWidth="1"/>
    <col min="6695" max="6695" width="11.42578125" style="2" customWidth="1"/>
    <col min="6696" max="6696" width="50.28515625" style="2" customWidth="1"/>
    <col min="6697" max="6698" width="11.42578125" style="2"/>
    <col min="6699" max="6699" width="15.42578125" style="2" customWidth="1"/>
    <col min="6700" max="6912" width="11.42578125" style="2"/>
    <col min="6913" max="6913" width="5.28515625" style="2" customWidth="1"/>
    <col min="6914" max="6914" width="5.85546875" style="2" customWidth="1"/>
    <col min="6915" max="6915" width="34.85546875" style="2" customWidth="1"/>
    <col min="6916" max="6916" width="8.85546875" style="2" customWidth="1"/>
    <col min="6917" max="6917" width="14.7109375" style="2" bestFit="1" customWidth="1"/>
    <col min="6918" max="6927" width="9.7109375" style="2" customWidth="1"/>
    <col min="6928" max="6928" width="5.7109375" style="2" customWidth="1"/>
    <col min="6929" max="6929" width="6.28515625" style="2" customWidth="1"/>
    <col min="6930" max="6930" width="7.7109375" style="2" customWidth="1"/>
    <col min="6931" max="6931" width="8.42578125" style="2" customWidth="1"/>
    <col min="6932" max="6932" width="10" style="2" customWidth="1"/>
    <col min="6933" max="6944" width="10.7109375" style="2" customWidth="1"/>
    <col min="6945" max="6945" width="38.42578125" style="2" customWidth="1"/>
    <col min="6946" max="6946" width="17" style="2" customWidth="1"/>
    <col min="6947" max="6949" width="11.42578125" style="2"/>
    <col min="6950" max="6950" width="9.42578125" style="2" customWidth="1"/>
    <col min="6951" max="6951" width="11.42578125" style="2" customWidth="1"/>
    <col min="6952" max="6952" width="50.28515625" style="2" customWidth="1"/>
    <col min="6953" max="6954" width="11.42578125" style="2"/>
    <col min="6955" max="6955" width="15.42578125" style="2" customWidth="1"/>
    <col min="6956" max="7168" width="11.42578125" style="2"/>
    <col min="7169" max="7169" width="5.28515625" style="2" customWidth="1"/>
    <col min="7170" max="7170" width="5.85546875" style="2" customWidth="1"/>
    <col min="7171" max="7171" width="34.85546875" style="2" customWidth="1"/>
    <col min="7172" max="7172" width="8.85546875" style="2" customWidth="1"/>
    <col min="7173" max="7173" width="14.7109375" style="2" bestFit="1" customWidth="1"/>
    <col min="7174" max="7183" width="9.7109375" style="2" customWidth="1"/>
    <col min="7184" max="7184" width="5.7109375" style="2" customWidth="1"/>
    <col min="7185" max="7185" width="6.28515625" style="2" customWidth="1"/>
    <col min="7186" max="7186" width="7.7109375" style="2" customWidth="1"/>
    <col min="7187" max="7187" width="8.42578125" style="2" customWidth="1"/>
    <col min="7188" max="7188" width="10" style="2" customWidth="1"/>
    <col min="7189" max="7200" width="10.7109375" style="2" customWidth="1"/>
    <col min="7201" max="7201" width="38.42578125" style="2" customWidth="1"/>
    <col min="7202" max="7202" width="17" style="2" customWidth="1"/>
    <col min="7203" max="7205" width="11.42578125" style="2"/>
    <col min="7206" max="7206" width="9.42578125" style="2" customWidth="1"/>
    <col min="7207" max="7207" width="11.42578125" style="2" customWidth="1"/>
    <col min="7208" max="7208" width="50.28515625" style="2" customWidth="1"/>
    <col min="7209" max="7210" width="11.42578125" style="2"/>
    <col min="7211" max="7211" width="15.42578125" style="2" customWidth="1"/>
    <col min="7212" max="7424" width="11.42578125" style="2"/>
    <col min="7425" max="7425" width="5.28515625" style="2" customWidth="1"/>
    <col min="7426" max="7426" width="5.85546875" style="2" customWidth="1"/>
    <col min="7427" max="7427" width="34.85546875" style="2" customWidth="1"/>
    <col min="7428" max="7428" width="8.85546875" style="2" customWidth="1"/>
    <col min="7429" max="7429" width="14.7109375" style="2" bestFit="1" customWidth="1"/>
    <col min="7430" max="7439" width="9.7109375" style="2" customWidth="1"/>
    <col min="7440" max="7440" width="5.7109375" style="2" customWidth="1"/>
    <col min="7441" max="7441" width="6.28515625" style="2" customWidth="1"/>
    <col min="7442" max="7442" width="7.7109375" style="2" customWidth="1"/>
    <col min="7443" max="7443" width="8.42578125" style="2" customWidth="1"/>
    <col min="7444" max="7444" width="10" style="2" customWidth="1"/>
    <col min="7445" max="7456" width="10.7109375" style="2" customWidth="1"/>
    <col min="7457" max="7457" width="38.42578125" style="2" customWidth="1"/>
    <col min="7458" max="7458" width="17" style="2" customWidth="1"/>
    <col min="7459" max="7461" width="11.42578125" style="2"/>
    <col min="7462" max="7462" width="9.42578125" style="2" customWidth="1"/>
    <col min="7463" max="7463" width="11.42578125" style="2" customWidth="1"/>
    <col min="7464" max="7464" width="50.28515625" style="2" customWidth="1"/>
    <col min="7465" max="7466" width="11.42578125" style="2"/>
    <col min="7467" max="7467" width="15.42578125" style="2" customWidth="1"/>
    <col min="7468" max="7680" width="11.42578125" style="2"/>
    <col min="7681" max="7681" width="5.28515625" style="2" customWidth="1"/>
    <col min="7682" max="7682" width="5.85546875" style="2" customWidth="1"/>
    <col min="7683" max="7683" width="34.85546875" style="2" customWidth="1"/>
    <col min="7684" max="7684" width="8.85546875" style="2" customWidth="1"/>
    <col min="7685" max="7685" width="14.7109375" style="2" bestFit="1" customWidth="1"/>
    <col min="7686" max="7695" width="9.7109375" style="2" customWidth="1"/>
    <col min="7696" max="7696" width="5.7109375" style="2" customWidth="1"/>
    <col min="7697" max="7697" width="6.28515625" style="2" customWidth="1"/>
    <col min="7698" max="7698" width="7.7109375" style="2" customWidth="1"/>
    <col min="7699" max="7699" width="8.42578125" style="2" customWidth="1"/>
    <col min="7700" max="7700" width="10" style="2" customWidth="1"/>
    <col min="7701" max="7712" width="10.7109375" style="2" customWidth="1"/>
    <col min="7713" max="7713" width="38.42578125" style="2" customWidth="1"/>
    <col min="7714" max="7714" width="17" style="2" customWidth="1"/>
    <col min="7715" max="7717" width="11.42578125" style="2"/>
    <col min="7718" max="7718" width="9.42578125" style="2" customWidth="1"/>
    <col min="7719" max="7719" width="11.42578125" style="2" customWidth="1"/>
    <col min="7720" max="7720" width="50.28515625" style="2" customWidth="1"/>
    <col min="7721" max="7722" width="11.42578125" style="2"/>
    <col min="7723" max="7723" width="15.42578125" style="2" customWidth="1"/>
    <col min="7724" max="7936" width="11.42578125" style="2"/>
    <col min="7937" max="7937" width="5.28515625" style="2" customWidth="1"/>
    <col min="7938" max="7938" width="5.85546875" style="2" customWidth="1"/>
    <col min="7939" max="7939" width="34.85546875" style="2" customWidth="1"/>
    <col min="7940" max="7940" width="8.85546875" style="2" customWidth="1"/>
    <col min="7941" max="7941" width="14.7109375" style="2" bestFit="1" customWidth="1"/>
    <col min="7942" max="7951" width="9.7109375" style="2" customWidth="1"/>
    <col min="7952" max="7952" width="5.7109375" style="2" customWidth="1"/>
    <col min="7953" max="7953" width="6.28515625" style="2" customWidth="1"/>
    <col min="7954" max="7954" width="7.7109375" style="2" customWidth="1"/>
    <col min="7955" max="7955" width="8.42578125" style="2" customWidth="1"/>
    <col min="7956" max="7956" width="10" style="2" customWidth="1"/>
    <col min="7957" max="7968" width="10.7109375" style="2" customWidth="1"/>
    <col min="7969" max="7969" width="38.42578125" style="2" customWidth="1"/>
    <col min="7970" max="7970" width="17" style="2" customWidth="1"/>
    <col min="7971" max="7973" width="11.42578125" style="2"/>
    <col min="7974" max="7974" width="9.42578125" style="2" customWidth="1"/>
    <col min="7975" max="7975" width="11.42578125" style="2" customWidth="1"/>
    <col min="7976" max="7976" width="50.28515625" style="2" customWidth="1"/>
    <col min="7977" max="7978" width="11.42578125" style="2"/>
    <col min="7979" max="7979" width="15.42578125" style="2" customWidth="1"/>
    <col min="7980" max="8192" width="11.42578125" style="2"/>
    <col min="8193" max="8193" width="5.28515625" style="2" customWidth="1"/>
    <col min="8194" max="8194" width="5.85546875" style="2" customWidth="1"/>
    <col min="8195" max="8195" width="34.85546875" style="2" customWidth="1"/>
    <col min="8196" max="8196" width="8.85546875" style="2" customWidth="1"/>
    <col min="8197" max="8197" width="14.7109375" style="2" bestFit="1" customWidth="1"/>
    <col min="8198" max="8207" width="9.7109375" style="2" customWidth="1"/>
    <col min="8208" max="8208" width="5.7109375" style="2" customWidth="1"/>
    <col min="8209" max="8209" width="6.28515625" style="2" customWidth="1"/>
    <col min="8210" max="8210" width="7.7109375" style="2" customWidth="1"/>
    <col min="8211" max="8211" width="8.42578125" style="2" customWidth="1"/>
    <col min="8212" max="8212" width="10" style="2" customWidth="1"/>
    <col min="8213" max="8224" width="10.7109375" style="2" customWidth="1"/>
    <col min="8225" max="8225" width="38.42578125" style="2" customWidth="1"/>
    <col min="8226" max="8226" width="17" style="2" customWidth="1"/>
    <col min="8227" max="8229" width="11.42578125" style="2"/>
    <col min="8230" max="8230" width="9.42578125" style="2" customWidth="1"/>
    <col min="8231" max="8231" width="11.42578125" style="2" customWidth="1"/>
    <col min="8232" max="8232" width="50.28515625" style="2" customWidth="1"/>
    <col min="8233" max="8234" width="11.42578125" style="2"/>
    <col min="8235" max="8235" width="15.42578125" style="2" customWidth="1"/>
    <col min="8236" max="8448" width="11.42578125" style="2"/>
    <col min="8449" max="8449" width="5.28515625" style="2" customWidth="1"/>
    <col min="8450" max="8450" width="5.85546875" style="2" customWidth="1"/>
    <col min="8451" max="8451" width="34.85546875" style="2" customWidth="1"/>
    <col min="8452" max="8452" width="8.85546875" style="2" customWidth="1"/>
    <col min="8453" max="8453" width="14.7109375" style="2" bestFit="1" customWidth="1"/>
    <col min="8454" max="8463" width="9.7109375" style="2" customWidth="1"/>
    <col min="8464" max="8464" width="5.7109375" style="2" customWidth="1"/>
    <col min="8465" max="8465" width="6.28515625" style="2" customWidth="1"/>
    <col min="8466" max="8466" width="7.7109375" style="2" customWidth="1"/>
    <col min="8467" max="8467" width="8.42578125" style="2" customWidth="1"/>
    <col min="8468" max="8468" width="10" style="2" customWidth="1"/>
    <col min="8469" max="8480" width="10.7109375" style="2" customWidth="1"/>
    <col min="8481" max="8481" width="38.42578125" style="2" customWidth="1"/>
    <col min="8482" max="8482" width="17" style="2" customWidth="1"/>
    <col min="8483" max="8485" width="11.42578125" style="2"/>
    <col min="8486" max="8486" width="9.42578125" style="2" customWidth="1"/>
    <col min="8487" max="8487" width="11.42578125" style="2" customWidth="1"/>
    <col min="8488" max="8488" width="50.28515625" style="2" customWidth="1"/>
    <col min="8489" max="8490" width="11.42578125" style="2"/>
    <col min="8491" max="8491" width="15.42578125" style="2" customWidth="1"/>
    <col min="8492" max="8704" width="11.42578125" style="2"/>
    <col min="8705" max="8705" width="5.28515625" style="2" customWidth="1"/>
    <col min="8706" max="8706" width="5.85546875" style="2" customWidth="1"/>
    <col min="8707" max="8707" width="34.85546875" style="2" customWidth="1"/>
    <col min="8708" max="8708" width="8.85546875" style="2" customWidth="1"/>
    <col min="8709" max="8709" width="14.7109375" style="2" bestFit="1" customWidth="1"/>
    <col min="8710" max="8719" width="9.7109375" style="2" customWidth="1"/>
    <col min="8720" max="8720" width="5.7109375" style="2" customWidth="1"/>
    <col min="8721" max="8721" width="6.28515625" style="2" customWidth="1"/>
    <col min="8722" max="8722" width="7.7109375" style="2" customWidth="1"/>
    <col min="8723" max="8723" width="8.42578125" style="2" customWidth="1"/>
    <col min="8724" max="8724" width="10" style="2" customWidth="1"/>
    <col min="8725" max="8736" width="10.7109375" style="2" customWidth="1"/>
    <col min="8737" max="8737" width="38.42578125" style="2" customWidth="1"/>
    <col min="8738" max="8738" width="17" style="2" customWidth="1"/>
    <col min="8739" max="8741" width="11.42578125" style="2"/>
    <col min="8742" max="8742" width="9.42578125" style="2" customWidth="1"/>
    <col min="8743" max="8743" width="11.42578125" style="2" customWidth="1"/>
    <col min="8744" max="8744" width="50.28515625" style="2" customWidth="1"/>
    <col min="8745" max="8746" width="11.42578125" style="2"/>
    <col min="8747" max="8747" width="15.42578125" style="2" customWidth="1"/>
    <col min="8748" max="8960" width="11.42578125" style="2"/>
    <col min="8961" max="8961" width="5.28515625" style="2" customWidth="1"/>
    <col min="8962" max="8962" width="5.85546875" style="2" customWidth="1"/>
    <col min="8963" max="8963" width="34.85546875" style="2" customWidth="1"/>
    <col min="8964" max="8964" width="8.85546875" style="2" customWidth="1"/>
    <col min="8965" max="8965" width="14.7109375" style="2" bestFit="1" customWidth="1"/>
    <col min="8966" max="8975" width="9.7109375" style="2" customWidth="1"/>
    <col min="8976" max="8976" width="5.7109375" style="2" customWidth="1"/>
    <col min="8977" max="8977" width="6.28515625" style="2" customWidth="1"/>
    <col min="8978" max="8978" width="7.7109375" style="2" customWidth="1"/>
    <col min="8979" max="8979" width="8.42578125" style="2" customWidth="1"/>
    <col min="8980" max="8980" width="10" style="2" customWidth="1"/>
    <col min="8981" max="8992" width="10.7109375" style="2" customWidth="1"/>
    <col min="8993" max="8993" width="38.42578125" style="2" customWidth="1"/>
    <col min="8994" max="8994" width="17" style="2" customWidth="1"/>
    <col min="8995" max="8997" width="11.42578125" style="2"/>
    <col min="8998" max="8998" width="9.42578125" style="2" customWidth="1"/>
    <col min="8999" max="8999" width="11.42578125" style="2" customWidth="1"/>
    <col min="9000" max="9000" width="50.28515625" style="2" customWidth="1"/>
    <col min="9001" max="9002" width="11.42578125" style="2"/>
    <col min="9003" max="9003" width="15.42578125" style="2" customWidth="1"/>
    <col min="9004" max="9216" width="11.42578125" style="2"/>
    <col min="9217" max="9217" width="5.28515625" style="2" customWidth="1"/>
    <col min="9218" max="9218" width="5.85546875" style="2" customWidth="1"/>
    <col min="9219" max="9219" width="34.85546875" style="2" customWidth="1"/>
    <col min="9220" max="9220" width="8.85546875" style="2" customWidth="1"/>
    <col min="9221" max="9221" width="14.7109375" style="2" bestFit="1" customWidth="1"/>
    <col min="9222" max="9231" width="9.7109375" style="2" customWidth="1"/>
    <col min="9232" max="9232" width="5.7109375" style="2" customWidth="1"/>
    <col min="9233" max="9233" width="6.28515625" style="2" customWidth="1"/>
    <col min="9234" max="9234" width="7.7109375" style="2" customWidth="1"/>
    <col min="9235" max="9235" width="8.42578125" style="2" customWidth="1"/>
    <col min="9236" max="9236" width="10" style="2" customWidth="1"/>
    <col min="9237" max="9248" width="10.7109375" style="2" customWidth="1"/>
    <col min="9249" max="9249" width="38.42578125" style="2" customWidth="1"/>
    <col min="9250" max="9250" width="17" style="2" customWidth="1"/>
    <col min="9251" max="9253" width="11.42578125" style="2"/>
    <col min="9254" max="9254" width="9.42578125" style="2" customWidth="1"/>
    <col min="9255" max="9255" width="11.42578125" style="2" customWidth="1"/>
    <col min="9256" max="9256" width="50.28515625" style="2" customWidth="1"/>
    <col min="9257" max="9258" width="11.42578125" style="2"/>
    <col min="9259" max="9259" width="15.42578125" style="2" customWidth="1"/>
    <col min="9260" max="9472" width="11.42578125" style="2"/>
    <col min="9473" max="9473" width="5.28515625" style="2" customWidth="1"/>
    <col min="9474" max="9474" width="5.85546875" style="2" customWidth="1"/>
    <col min="9475" max="9475" width="34.85546875" style="2" customWidth="1"/>
    <col min="9476" max="9476" width="8.85546875" style="2" customWidth="1"/>
    <col min="9477" max="9477" width="14.7109375" style="2" bestFit="1" customWidth="1"/>
    <col min="9478" max="9487" width="9.7109375" style="2" customWidth="1"/>
    <col min="9488" max="9488" width="5.7109375" style="2" customWidth="1"/>
    <col min="9489" max="9489" width="6.28515625" style="2" customWidth="1"/>
    <col min="9490" max="9490" width="7.7109375" style="2" customWidth="1"/>
    <col min="9491" max="9491" width="8.42578125" style="2" customWidth="1"/>
    <col min="9492" max="9492" width="10" style="2" customWidth="1"/>
    <col min="9493" max="9504" width="10.7109375" style="2" customWidth="1"/>
    <col min="9505" max="9505" width="38.42578125" style="2" customWidth="1"/>
    <col min="9506" max="9506" width="17" style="2" customWidth="1"/>
    <col min="9507" max="9509" width="11.42578125" style="2"/>
    <col min="9510" max="9510" width="9.42578125" style="2" customWidth="1"/>
    <col min="9511" max="9511" width="11.42578125" style="2" customWidth="1"/>
    <col min="9512" max="9512" width="50.28515625" style="2" customWidth="1"/>
    <col min="9513" max="9514" width="11.42578125" style="2"/>
    <col min="9515" max="9515" width="15.42578125" style="2" customWidth="1"/>
    <col min="9516" max="9728" width="11.42578125" style="2"/>
    <col min="9729" max="9729" width="5.28515625" style="2" customWidth="1"/>
    <col min="9730" max="9730" width="5.85546875" style="2" customWidth="1"/>
    <col min="9731" max="9731" width="34.85546875" style="2" customWidth="1"/>
    <col min="9732" max="9732" width="8.85546875" style="2" customWidth="1"/>
    <col min="9733" max="9733" width="14.7109375" style="2" bestFit="1" customWidth="1"/>
    <col min="9734" max="9743" width="9.7109375" style="2" customWidth="1"/>
    <col min="9744" max="9744" width="5.7109375" style="2" customWidth="1"/>
    <col min="9745" max="9745" width="6.28515625" style="2" customWidth="1"/>
    <col min="9746" max="9746" width="7.7109375" style="2" customWidth="1"/>
    <col min="9747" max="9747" width="8.42578125" style="2" customWidth="1"/>
    <col min="9748" max="9748" width="10" style="2" customWidth="1"/>
    <col min="9749" max="9760" width="10.7109375" style="2" customWidth="1"/>
    <col min="9761" max="9761" width="38.42578125" style="2" customWidth="1"/>
    <col min="9762" max="9762" width="17" style="2" customWidth="1"/>
    <col min="9763" max="9765" width="11.42578125" style="2"/>
    <col min="9766" max="9766" width="9.42578125" style="2" customWidth="1"/>
    <col min="9767" max="9767" width="11.42578125" style="2" customWidth="1"/>
    <col min="9768" max="9768" width="50.28515625" style="2" customWidth="1"/>
    <col min="9769" max="9770" width="11.42578125" style="2"/>
    <col min="9771" max="9771" width="15.42578125" style="2" customWidth="1"/>
    <col min="9772" max="9984" width="11.42578125" style="2"/>
    <col min="9985" max="9985" width="5.28515625" style="2" customWidth="1"/>
    <col min="9986" max="9986" width="5.85546875" style="2" customWidth="1"/>
    <col min="9987" max="9987" width="34.85546875" style="2" customWidth="1"/>
    <col min="9988" max="9988" width="8.85546875" style="2" customWidth="1"/>
    <col min="9989" max="9989" width="14.7109375" style="2" bestFit="1" customWidth="1"/>
    <col min="9990" max="9999" width="9.7109375" style="2" customWidth="1"/>
    <col min="10000" max="10000" width="5.7109375" style="2" customWidth="1"/>
    <col min="10001" max="10001" width="6.28515625" style="2" customWidth="1"/>
    <col min="10002" max="10002" width="7.7109375" style="2" customWidth="1"/>
    <col min="10003" max="10003" width="8.42578125" style="2" customWidth="1"/>
    <col min="10004" max="10004" width="10" style="2" customWidth="1"/>
    <col min="10005" max="10016" width="10.7109375" style="2" customWidth="1"/>
    <col min="10017" max="10017" width="38.42578125" style="2" customWidth="1"/>
    <col min="10018" max="10018" width="17" style="2" customWidth="1"/>
    <col min="10019" max="10021" width="11.42578125" style="2"/>
    <col min="10022" max="10022" width="9.42578125" style="2" customWidth="1"/>
    <col min="10023" max="10023" width="11.42578125" style="2" customWidth="1"/>
    <col min="10024" max="10024" width="50.28515625" style="2" customWidth="1"/>
    <col min="10025" max="10026" width="11.42578125" style="2"/>
    <col min="10027" max="10027" width="15.42578125" style="2" customWidth="1"/>
    <col min="10028" max="10240" width="11.42578125" style="2"/>
    <col min="10241" max="10241" width="5.28515625" style="2" customWidth="1"/>
    <col min="10242" max="10242" width="5.85546875" style="2" customWidth="1"/>
    <col min="10243" max="10243" width="34.85546875" style="2" customWidth="1"/>
    <col min="10244" max="10244" width="8.85546875" style="2" customWidth="1"/>
    <col min="10245" max="10245" width="14.7109375" style="2" bestFit="1" customWidth="1"/>
    <col min="10246" max="10255" width="9.7109375" style="2" customWidth="1"/>
    <col min="10256" max="10256" width="5.7109375" style="2" customWidth="1"/>
    <col min="10257" max="10257" width="6.28515625" style="2" customWidth="1"/>
    <col min="10258" max="10258" width="7.7109375" style="2" customWidth="1"/>
    <col min="10259" max="10259" width="8.42578125" style="2" customWidth="1"/>
    <col min="10260" max="10260" width="10" style="2" customWidth="1"/>
    <col min="10261" max="10272" width="10.7109375" style="2" customWidth="1"/>
    <col min="10273" max="10273" width="38.42578125" style="2" customWidth="1"/>
    <col min="10274" max="10274" width="17" style="2" customWidth="1"/>
    <col min="10275" max="10277" width="11.42578125" style="2"/>
    <col min="10278" max="10278" width="9.42578125" style="2" customWidth="1"/>
    <col min="10279" max="10279" width="11.42578125" style="2" customWidth="1"/>
    <col min="10280" max="10280" width="50.28515625" style="2" customWidth="1"/>
    <col min="10281" max="10282" width="11.42578125" style="2"/>
    <col min="10283" max="10283" width="15.42578125" style="2" customWidth="1"/>
    <col min="10284" max="10496" width="11.42578125" style="2"/>
    <col min="10497" max="10497" width="5.28515625" style="2" customWidth="1"/>
    <col min="10498" max="10498" width="5.85546875" style="2" customWidth="1"/>
    <col min="10499" max="10499" width="34.85546875" style="2" customWidth="1"/>
    <col min="10500" max="10500" width="8.85546875" style="2" customWidth="1"/>
    <col min="10501" max="10501" width="14.7109375" style="2" bestFit="1" customWidth="1"/>
    <col min="10502" max="10511" width="9.7109375" style="2" customWidth="1"/>
    <col min="10512" max="10512" width="5.7109375" style="2" customWidth="1"/>
    <col min="10513" max="10513" width="6.28515625" style="2" customWidth="1"/>
    <col min="10514" max="10514" width="7.7109375" style="2" customWidth="1"/>
    <col min="10515" max="10515" width="8.42578125" style="2" customWidth="1"/>
    <col min="10516" max="10516" width="10" style="2" customWidth="1"/>
    <col min="10517" max="10528" width="10.7109375" style="2" customWidth="1"/>
    <col min="10529" max="10529" width="38.42578125" style="2" customWidth="1"/>
    <col min="10530" max="10530" width="17" style="2" customWidth="1"/>
    <col min="10531" max="10533" width="11.42578125" style="2"/>
    <col min="10534" max="10534" width="9.42578125" style="2" customWidth="1"/>
    <col min="10535" max="10535" width="11.42578125" style="2" customWidth="1"/>
    <col min="10536" max="10536" width="50.28515625" style="2" customWidth="1"/>
    <col min="10537" max="10538" width="11.42578125" style="2"/>
    <col min="10539" max="10539" width="15.42578125" style="2" customWidth="1"/>
    <col min="10540" max="10752" width="11.42578125" style="2"/>
    <col min="10753" max="10753" width="5.28515625" style="2" customWidth="1"/>
    <col min="10754" max="10754" width="5.85546875" style="2" customWidth="1"/>
    <col min="10755" max="10755" width="34.85546875" style="2" customWidth="1"/>
    <col min="10756" max="10756" width="8.85546875" style="2" customWidth="1"/>
    <col min="10757" max="10757" width="14.7109375" style="2" bestFit="1" customWidth="1"/>
    <col min="10758" max="10767" width="9.7109375" style="2" customWidth="1"/>
    <col min="10768" max="10768" width="5.7109375" style="2" customWidth="1"/>
    <col min="10769" max="10769" width="6.28515625" style="2" customWidth="1"/>
    <col min="10770" max="10770" width="7.7109375" style="2" customWidth="1"/>
    <col min="10771" max="10771" width="8.42578125" style="2" customWidth="1"/>
    <col min="10772" max="10772" width="10" style="2" customWidth="1"/>
    <col min="10773" max="10784" width="10.7109375" style="2" customWidth="1"/>
    <col min="10785" max="10785" width="38.42578125" style="2" customWidth="1"/>
    <col min="10786" max="10786" width="17" style="2" customWidth="1"/>
    <col min="10787" max="10789" width="11.42578125" style="2"/>
    <col min="10790" max="10790" width="9.42578125" style="2" customWidth="1"/>
    <col min="10791" max="10791" width="11.42578125" style="2" customWidth="1"/>
    <col min="10792" max="10792" width="50.28515625" style="2" customWidth="1"/>
    <col min="10793" max="10794" width="11.42578125" style="2"/>
    <col min="10795" max="10795" width="15.42578125" style="2" customWidth="1"/>
    <col min="10796" max="11008" width="11.42578125" style="2"/>
    <col min="11009" max="11009" width="5.28515625" style="2" customWidth="1"/>
    <col min="11010" max="11010" width="5.85546875" style="2" customWidth="1"/>
    <col min="11011" max="11011" width="34.85546875" style="2" customWidth="1"/>
    <col min="11012" max="11012" width="8.85546875" style="2" customWidth="1"/>
    <col min="11013" max="11013" width="14.7109375" style="2" bestFit="1" customWidth="1"/>
    <col min="11014" max="11023" width="9.7109375" style="2" customWidth="1"/>
    <col min="11024" max="11024" width="5.7109375" style="2" customWidth="1"/>
    <col min="11025" max="11025" width="6.28515625" style="2" customWidth="1"/>
    <col min="11026" max="11026" width="7.7109375" style="2" customWidth="1"/>
    <col min="11027" max="11027" width="8.42578125" style="2" customWidth="1"/>
    <col min="11028" max="11028" width="10" style="2" customWidth="1"/>
    <col min="11029" max="11040" width="10.7109375" style="2" customWidth="1"/>
    <col min="11041" max="11041" width="38.42578125" style="2" customWidth="1"/>
    <col min="11042" max="11042" width="17" style="2" customWidth="1"/>
    <col min="11043" max="11045" width="11.42578125" style="2"/>
    <col min="11046" max="11046" width="9.42578125" style="2" customWidth="1"/>
    <col min="11047" max="11047" width="11.42578125" style="2" customWidth="1"/>
    <col min="11048" max="11048" width="50.28515625" style="2" customWidth="1"/>
    <col min="11049" max="11050" width="11.42578125" style="2"/>
    <col min="11051" max="11051" width="15.42578125" style="2" customWidth="1"/>
    <col min="11052" max="11264" width="11.42578125" style="2"/>
    <col min="11265" max="11265" width="5.28515625" style="2" customWidth="1"/>
    <col min="11266" max="11266" width="5.85546875" style="2" customWidth="1"/>
    <col min="11267" max="11267" width="34.85546875" style="2" customWidth="1"/>
    <col min="11268" max="11268" width="8.85546875" style="2" customWidth="1"/>
    <col min="11269" max="11269" width="14.7109375" style="2" bestFit="1" customWidth="1"/>
    <col min="11270" max="11279" width="9.7109375" style="2" customWidth="1"/>
    <col min="11280" max="11280" width="5.7109375" style="2" customWidth="1"/>
    <col min="11281" max="11281" width="6.28515625" style="2" customWidth="1"/>
    <col min="11282" max="11282" width="7.7109375" style="2" customWidth="1"/>
    <col min="11283" max="11283" width="8.42578125" style="2" customWidth="1"/>
    <col min="11284" max="11284" width="10" style="2" customWidth="1"/>
    <col min="11285" max="11296" width="10.7109375" style="2" customWidth="1"/>
    <col min="11297" max="11297" width="38.42578125" style="2" customWidth="1"/>
    <col min="11298" max="11298" width="17" style="2" customWidth="1"/>
    <col min="11299" max="11301" width="11.42578125" style="2"/>
    <col min="11302" max="11302" width="9.42578125" style="2" customWidth="1"/>
    <col min="11303" max="11303" width="11.42578125" style="2" customWidth="1"/>
    <col min="11304" max="11304" width="50.28515625" style="2" customWidth="1"/>
    <col min="11305" max="11306" width="11.42578125" style="2"/>
    <col min="11307" max="11307" width="15.42578125" style="2" customWidth="1"/>
    <col min="11308" max="11520" width="11.42578125" style="2"/>
    <col min="11521" max="11521" width="5.28515625" style="2" customWidth="1"/>
    <col min="11522" max="11522" width="5.85546875" style="2" customWidth="1"/>
    <col min="11523" max="11523" width="34.85546875" style="2" customWidth="1"/>
    <col min="11524" max="11524" width="8.85546875" style="2" customWidth="1"/>
    <col min="11525" max="11525" width="14.7109375" style="2" bestFit="1" customWidth="1"/>
    <col min="11526" max="11535" width="9.7109375" style="2" customWidth="1"/>
    <col min="11536" max="11536" width="5.7109375" style="2" customWidth="1"/>
    <col min="11537" max="11537" width="6.28515625" style="2" customWidth="1"/>
    <col min="11538" max="11538" width="7.7109375" style="2" customWidth="1"/>
    <col min="11539" max="11539" width="8.42578125" style="2" customWidth="1"/>
    <col min="11540" max="11540" width="10" style="2" customWidth="1"/>
    <col min="11541" max="11552" width="10.7109375" style="2" customWidth="1"/>
    <col min="11553" max="11553" width="38.42578125" style="2" customWidth="1"/>
    <col min="11554" max="11554" width="17" style="2" customWidth="1"/>
    <col min="11555" max="11557" width="11.42578125" style="2"/>
    <col min="11558" max="11558" width="9.42578125" style="2" customWidth="1"/>
    <col min="11559" max="11559" width="11.42578125" style="2" customWidth="1"/>
    <col min="11560" max="11560" width="50.28515625" style="2" customWidth="1"/>
    <col min="11561" max="11562" width="11.42578125" style="2"/>
    <col min="11563" max="11563" width="15.42578125" style="2" customWidth="1"/>
    <col min="11564" max="11776" width="11.42578125" style="2"/>
    <col min="11777" max="11777" width="5.28515625" style="2" customWidth="1"/>
    <col min="11778" max="11778" width="5.85546875" style="2" customWidth="1"/>
    <col min="11779" max="11779" width="34.85546875" style="2" customWidth="1"/>
    <col min="11780" max="11780" width="8.85546875" style="2" customWidth="1"/>
    <col min="11781" max="11781" width="14.7109375" style="2" bestFit="1" customWidth="1"/>
    <col min="11782" max="11791" width="9.7109375" style="2" customWidth="1"/>
    <col min="11792" max="11792" width="5.7109375" style="2" customWidth="1"/>
    <col min="11793" max="11793" width="6.28515625" style="2" customWidth="1"/>
    <col min="11794" max="11794" width="7.7109375" style="2" customWidth="1"/>
    <col min="11795" max="11795" width="8.42578125" style="2" customWidth="1"/>
    <col min="11796" max="11796" width="10" style="2" customWidth="1"/>
    <col min="11797" max="11808" width="10.7109375" style="2" customWidth="1"/>
    <col min="11809" max="11809" width="38.42578125" style="2" customWidth="1"/>
    <col min="11810" max="11810" width="17" style="2" customWidth="1"/>
    <col min="11811" max="11813" width="11.42578125" style="2"/>
    <col min="11814" max="11814" width="9.42578125" style="2" customWidth="1"/>
    <col min="11815" max="11815" width="11.42578125" style="2" customWidth="1"/>
    <col min="11816" max="11816" width="50.28515625" style="2" customWidth="1"/>
    <col min="11817" max="11818" width="11.42578125" style="2"/>
    <col min="11819" max="11819" width="15.42578125" style="2" customWidth="1"/>
    <col min="11820" max="12032" width="11.42578125" style="2"/>
    <col min="12033" max="12033" width="5.28515625" style="2" customWidth="1"/>
    <col min="12034" max="12034" width="5.85546875" style="2" customWidth="1"/>
    <col min="12035" max="12035" width="34.85546875" style="2" customWidth="1"/>
    <col min="12036" max="12036" width="8.85546875" style="2" customWidth="1"/>
    <col min="12037" max="12037" width="14.7109375" style="2" bestFit="1" customWidth="1"/>
    <col min="12038" max="12047" width="9.7109375" style="2" customWidth="1"/>
    <col min="12048" max="12048" width="5.7109375" style="2" customWidth="1"/>
    <col min="12049" max="12049" width="6.28515625" style="2" customWidth="1"/>
    <col min="12050" max="12050" width="7.7109375" style="2" customWidth="1"/>
    <col min="12051" max="12051" width="8.42578125" style="2" customWidth="1"/>
    <col min="12052" max="12052" width="10" style="2" customWidth="1"/>
    <col min="12053" max="12064" width="10.7109375" style="2" customWidth="1"/>
    <col min="12065" max="12065" width="38.42578125" style="2" customWidth="1"/>
    <col min="12066" max="12066" width="17" style="2" customWidth="1"/>
    <col min="12067" max="12069" width="11.42578125" style="2"/>
    <col min="12070" max="12070" width="9.42578125" style="2" customWidth="1"/>
    <col min="12071" max="12071" width="11.42578125" style="2" customWidth="1"/>
    <col min="12072" max="12072" width="50.28515625" style="2" customWidth="1"/>
    <col min="12073" max="12074" width="11.42578125" style="2"/>
    <col min="12075" max="12075" width="15.42578125" style="2" customWidth="1"/>
    <col min="12076" max="12288" width="11.42578125" style="2"/>
    <col min="12289" max="12289" width="5.28515625" style="2" customWidth="1"/>
    <col min="12290" max="12290" width="5.85546875" style="2" customWidth="1"/>
    <col min="12291" max="12291" width="34.85546875" style="2" customWidth="1"/>
    <col min="12292" max="12292" width="8.85546875" style="2" customWidth="1"/>
    <col min="12293" max="12293" width="14.7109375" style="2" bestFit="1" customWidth="1"/>
    <col min="12294" max="12303" width="9.7109375" style="2" customWidth="1"/>
    <col min="12304" max="12304" width="5.7109375" style="2" customWidth="1"/>
    <col min="12305" max="12305" width="6.28515625" style="2" customWidth="1"/>
    <col min="12306" max="12306" width="7.7109375" style="2" customWidth="1"/>
    <col min="12307" max="12307" width="8.42578125" style="2" customWidth="1"/>
    <col min="12308" max="12308" width="10" style="2" customWidth="1"/>
    <col min="12309" max="12320" width="10.7109375" style="2" customWidth="1"/>
    <col min="12321" max="12321" width="38.42578125" style="2" customWidth="1"/>
    <col min="12322" max="12322" width="17" style="2" customWidth="1"/>
    <col min="12323" max="12325" width="11.42578125" style="2"/>
    <col min="12326" max="12326" width="9.42578125" style="2" customWidth="1"/>
    <col min="12327" max="12327" width="11.42578125" style="2" customWidth="1"/>
    <col min="12328" max="12328" width="50.28515625" style="2" customWidth="1"/>
    <col min="12329" max="12330" width="11.42578125" style="2"/>
    <col min="12331" max="12331" width="15.42578125" style="2" customWidth="1"/>
    <col min="12332" max="12544" width="11.42578125" style="2"/>
    <col min="12545" max="12545" width="5.28515625" style="2" customWidth="1"/>
    <col min="12546" max="12546" width="5.85546875" style="2" customWidth="1"/>
    <col min="12547" max="12547" width="34.85546875" style="2" customWidth="1"/>
    <col min="12548" max="12548" width="8.85546875" style="2" customWidth="1"/>
    <col min="12549" max="12549" width="14.7109375" style="2" bestFit="1" customWidth="1"/>
    <col min="12550" max="12559" width="9.7109375" style="2" customWidth="1"/>
    <col min="12560" max="12560" width="5.7109375" style="2" customWidth="1"/>
    <col min="12561" max="12561" width="6.28515625" style="2" customWidth="1"/>
    <col min="12562" max="12562" width="7.7109375" style="2" customWidth="1"/>
    <col min="12563" max="12563" width="8.42578125" style="2" customWidth="1"/>
    <col min="12564" max="12564" width="10" style="2" customWidth="1"/>
    <col min="12565" max="12576" width="10.7109375" style="2" customWidth="1"/>
    <col min="12577" max="12577" width="38.42578125" style="2" customWidth="1"/>
    <col min="12578" max="12578" width="17" style="2" customWidth="1"/>
    <col min="12579" max="12581" width="11.42578125" style="2"/>
    <col min="12582" max="12582" width="9.42578125" style="2" customWidth="1"/>
    <col min="12583" max="12583" width="11.42578125" style="2" customWidth="1"/>
    <col min="12584" max="12584" width="50.28515625" style="2" customWidth="1"/>
    <col min="12585" max="12586" width="11.42578125" style="2"/>
    <col min="12587" max="12587" width="15.42578125" style="2" customWidth="1"/>
    <col min="12588" max="12800" width="11.42578125" style="2"/>
    <col min="12801" max="12801" width="5.28515625" style="2" customWidth="1"/>
    <col min="12802" max="12802" width="5.85546875" style="2" customWidth="1"/>
    <col min="12803" max="12803" width="34.85546875" style="2" customWidth="1"/>
    <col min="12804" max="12804" width="8.85546875" style="2" customWidth="1"/>
    <col min="12805" max="12805" width="14.7109375" style="2" bestFit="1" customWidth="1"/>
    <col min="12806" max="12815" width="9.7109375" style="2" customWidth="1"/>
    <col min="12816" max="12816" width="5.7109375" style="2" customWidth="1"/>
    <col min="12817" max="12817" width="6.28515625" style="2" customWidth="1"/>
    <col min="12818" max="12818" width="7.7109375" style="2" customWidth="1"/>
    <col min="12819" max="12819" width="8.42578125" style="2" customWidth="1"/>
    <col min="12820" max="12820" width="10" style="2" customWidth="1"/>
    <col min="12821" max="12832" width="10.7109375" style="2" customWidth="1"/>
    <col min="12833" max="12833" width="38.42578125" style="2" customWidth="1"/>
    <col min="12834" max="12834" width="17" style="2" customWidth="1"/>
    <col min="12835" max="12837" width="11.42578125" style="2"/>
    <col min="12838" max="12838" width="9.42578125" style="2" customWidth="1"/>
    <col min="12839" max="12839" width="11.42578125" style="2" customWidth="1"/>
    <col min="12840" max="12840" width="50.28515625" style="2" customWidth="1"/>
    <col min="12841" max="12842" width="11.42578125" style="2"/>
    <col min="12843" max="12843" width="15.42578125" style="2" customWidth="1"/>
    <col min="12844" max="13056" width="11.42578125" style="2"/>
    <col min="13057" max="13057" width="5.28515625" style="2" customWidth="1"/>
    <col min="13058" max="13058" width="5.85546875" style="2" customWidth="1"/>
    <col min="13059" max="13059" width="34.85546875" style="2" customWidth="1"/>
    <col min="13060" max="13060" width="8.85546875" style="2" customWidth="1"/>
    <col min="13061" max="13061" width="14.7109375" style="2" bestFit="1" customWidth="1"/>
    <col min="13062" max="13071" width="9.7109375" style="2" customWidth="1"/>
    <col min="13072" max="13072" width="5.7109375" style="2" customWidth="1"/>
    <col min="13073" max="13073" width="6.28515625" style="2" customWidth="1"/>
    <col min="13074" max="13074" width="7.7109375" style="2" customWidth="1"/>
    <col min="13075" max="13075" width="8.42578125" style="2" customWidth="1"/>
    <col min="13076" max="13076" width="10" style="2" customWidth="1"/>
    <col min="13077" max="13088" width="10.7109375" style="2" customWidth="1"/>
    <col min="13089" max="13089" width="38.42578125" style="2" customWidth="1"/>
    <col min="13090" max="13090" width="17" style="2" customWidth="1"/>
    <col min="13091" max="13093" width="11.42578125" style="2"/>
    <col min="13094" max="13094" width="9.42578125" style="2" customWidth="1"/>
    <col min="13095" max="13095" width="11.42578125" style="2" customWidth="1"/>
    <col min="13096" max="13096" width="50.28515625" style="2" customWidth="1"/>
    <col min="13097" max="13098" width="11.42578125" style="2"/>
    <col min="13099" max="13099" width="15.42578125" style="2" customWidth="1"/>
    <col min="13100" max="13312" width="11.42578125" style="2"/>
    <col min="13313" max="13313" width="5.28515625" style="2" customWidth="1"/>
    <col min="13314" max="13314" width="5.85546875" style="2" customWidth="1"/>
    <col min="13315" max="13315" width="34.85546875" style="2" customWidth="1"/>
    <col min="13316" max="13316" width="8.85546875" style="2" customWidth="1"/>
    <col min="13317" max="13317" width="14.7109375" style="2" bestFit="1" customWidth="1"/>
    <col min="13318" max="13327" width="9.7109375" style="2" customWidth="1"/>
    <col min="13328" max="13328" width="5.7109375" style="2" customWidth="1"/>
    <col min="13329" max="13329" width="6.28515625" style="2" customWidth="1"/>
    <col min="13330" max="13330" width="7.7109375" style="2" customWidth="1"/>
    <col min="13331" max="13331" width="8.42578125" style="2" customWidth="1"/>
    <col min="13332" max="13332" width="10" style="2" customWidth="1"/>
    <col min="13333" max="13344" width="10.7109375" style="2" customWidth="1"/>
    <col min="13345" max="13345" width="38.42578125" style="2" customWidth="1"/>
    <col min="13346" max="13346" width="17" style="2" customWidth="1"/>
    <col min="13347" max="13349" width="11.42578125" style="2"/>
    <col min="13350" max="13350" width="9.42578125" style="2" customWidth="1"/>
    <col min="13351" max="13351" width="11.42578125" style="2" customWidth="1"/>
    <col min="13352" max="13352" width="50.28515625" style="2" customWidth="1"/>
    <col min="13353" max="13354" width="11.42578125" style="2"/>
    <col min="13355" max="13355" width="15.42578125" style="2" customWidth="1"/>
    <col min="13356" max="13568" width="11.42578125" style="2"/>
    <col min="13569" max="13569" width="5.28515625" style="2" customWidth="1"/>
    <col min="13570" max="13570" width="5.85546875" style="2" customWidth="1"/>
    <col min="13571" max="13571" width="34.85546875" style="2" customWidth="1"/>
    <col min="13572" max="13572" width="8.85546875" style="2" customWidth="1"/>
    <col min="13573" max="13573" width="14.7109375" style="2" bestFit="1" customWidth="1"/>
    <col min="13574" max="13583" width="9.7109375" style="2" customWidth="1"/>
    <col min="13584" max="13584" width="5.7109375" style="2" customWidth="1"/>
    <col min="13585" max="13585" width="6.28515625" style="2" customWidth="1"/>
    <col min="13586" max="13586" width="7.7109375" style="2" customWidth="1"/>
    <col min="13587" max="13587" width="8.42578125" style="2" customWidth="1"/>
    <col min="13588" max="13588" width="10" style="2" customWidth="1"/>
    <col min="13589" max="13600" width="10.7109375" style="2" customWidth="1"/>
    <col min="13601" max="13601" width="38.42578125" style="2" customWidth="1"/>
    <col min="13602" max="13602" width="17" style="2" customWidth="1"/>
    <col min="13603" max="13605" width="11.42578125" style="2"/>
    <col min="13606" max="13606" width="9.42578125" style="2" customWidth="1"/>
    <col min="13607" max="13607" width="11.42578125" style="2" customWidth="1"/>
    <col min="13608" max="13608" width="50.28515625" style="2" customWidth="1"/>
    <col min="13609" max="13610" width="11.42578125" style="2"/>
    <col min="13611" max="13611" width="15.42578125" style="2" customWidth="1"/>
    <col min="13612" max="13824" width="11.42578125" style="2"/>
    <col min="13825" max="13825" width="5.28515625" style="2" customWidth="1"/>
    <col min="13826" max="13826" width="5.85546875" style="2" customWidth="1"/>
    <col min="13827" max="13827" width="34.85546875" style="2" customWidth="1"/>
    <col min="13828" max="13828" width="8.85546875" style="2" customWidth="1"/>
    <col min="13829" max="13829" width="14.7109375" style="2" bestFit="1" customWidth="1"/>
    <col min="13830" max="13839" width="9.7109375" style="2" customWidth="1"/>
    <col min="13840" max="13840" width="5.7109375" style="2" customWidth="1"/>
    <col min="13841" max="13841" width="6.28515625" style="2" customWidth="1"/>
    <col min="13842" max="13842" width="7.7109375" style="2" customWidth="1"/>
    <col min="13843" max="13843" width="8.42578125" style="2" customWidth="1"/>
    <col min="13844" max="13844" width="10" style="2" customWidth="1"/>
    <col min="13845" max="13856" width="10.7109375" style="2" customWidth="1"/>
    <col min="13857" max="13857" width="38.42578125" style="2" customWidth="1"/>
    <col min="13858" max="13858" width="17" style="2" customWidth="1"/>
    <col min="13859" max="13861" width="11.42578125" style="2"/>
    <col min="13862" max="13862" width="9.42578125" style="2" customWidth="1"/>
    <col min="13863" max="13863" width="11.42578125" style="2" customWidth="1"/>
    <col min="13864" max="13864" width="50.28515625" style="2" customWidth="1"/>
    <col min="13865" max="13866" width="11.42578125" style="2"/>
    <col min="13867" max="13867" width="15.42578125" style="2" customWidth="1"/>
    <col min="13868" max="14080" width="11.42578125" style="2"/>
    <col min="14081" max="14081" width="5.28515625" style="2" customWidth="1"/>
    <col min="14082" max="14082" width="5.85546875" style="2" customWidth="1"/>
    <col min="14083" max="14083" width="34.85546875" style="2" customWidth="1"/>
    <col min="14084" max="14084" width="8.85546875" style="2" customWidth="1"/>
    <col min="14085" max="14085" width="14.7109375" style="2" bestFit="1" customWidth="1"/>
    <col min="14086" max="14095" width="9.7109375" style="2" customWidth="1"/>
    <col min="14096" max="14096" width="5.7109375" style="2" customWidth="1"/>
    <col min="14097" max="14097" width="6.28515625" style="2" customWidth="1"/>
    <col min="14098" max="14098" width="7.7109375" style="2" customWidth="1"/>
    <col min="14099" max="14099" width="8.42578125" style="2" customWidth="1"/>
    <col min="14100" max="14100" width="10" style="2" customWidth="1"/>
    <col min="14101" max="14112" width="10.7109375" style="2" customWidth="1"/>
    <col min="14113" max="14113" width="38.42578125" style="2" customWidth="1"/>
    <col min="14114" max="14114" width="17" style="2" customWidth="1"/>
    <col min="14115" max="14117" width="11.42578125" style="2"/>
    <col min="14118" max="14118" width="9.42578125" style="2" customWidth="1"/>
    <col min="14119" max="14119" width="11.42578125" style="2" customWidth="1"/>
    <col min="14120" max="14120" width="50.28515625" style="2" customWidth="1"/>
    <col min="14121" max="14122" width="11.42578125" style="2"/>
    <col min="14123" max="14123" width="15.42578125" style="2" customWidth="1"/>
    <col min="14124" max="14336" width="11.42578125" style="2"/>
    <col min="14337" max="14337" width="5.28515625" style="2" customWidth="1"/>
    <col min="14338" max="14338" width="5.85546875" style="2" customWidth="1"/>
    <col min="14339" max="14339" width="34.85546875" style="2" customWidth="1"/>
    <col min="14340" max="14340" width="8.85546875" style="2" customWidth="1"/>
    <col min="14341" max="14341" width="14.7109375" style="2" bestFit="1" customWidth="1"/>
    <col min="14342" max="14351" width="9.7109375" style="2" customWidth="1"/>
    <col min="14352" max="14352" width="5.7109375" style="2" customWidth="1"/>
    <col min="14353" max="14353" width="6.28515625" style="2" customWidth="1"/>
    <col min="14354" max="14354" width="7.7109375" style="2" customWidth="1"/>
    <col min="14355" max="14355" width="8.42578125" style="2" customWidth="1"/>
    <col min="14356" max="14356" width="10" style="2" customWidth="1"/>
    <col min="14357" max="14368" width="10.7109375" style="2" customWidth="1"/>
    <col min="14369" max="14369" width="38.42578125" style="2" customWidth="1"/>
    <col min="14370" max="14370" width="17" style="2" customWidth="1"/>
    <col min="14371" max="14373" width="11.42578125" style="2"/>
    <col min="14374" max="14374" width="9.42578125" style="2" customWidth="1"/>
    <col min="14375" max="14375" width="11.42578125" style="2" customWidth="1"/>
    <col min="14376" max="14376" width="50.28515625" style="2" customWidth="1"/>
    <col min="14377" max="14378" width="11.42578125" style="2"/>
    <col min="14379" max="14379" width="15.42578125" style="2" customWidth="1"/>
    <col min="14380" max="14592" width="11.42578125" style="2"/>
    <col min="14593" max="14593" width="5.28515625" style="2" customWidth="1"/>
    <col min="14594" max="14594" width="5.85546875" style="2" customWidth="1"/>
    <col min="14595" max="14595" width="34.85546875" style="2" customWidth="1"/>
    <col min="14596" max="14596" width="8.85546875" style="2" customWidth="1"/>
    <col min="14597" max="14597" width="14.7109375" style="2" bestFit="1" customWidth="1"/>
    <col min="14598" max="14607" width="9.7109375" style="2" customWidth="1"/>
    <col min="14608" max="14608" width="5.7109375" style="2" customWidth="1"/>
    <col min="14609" max="14609" width="6.28515625" style="2" customWidth="1"/>
    <col min="14610" max="14610" width="7.7109375" style="2" customWidth="1"/>
    <col min="14611" max="14611" width="8.42578125" style="2" customWidth="1"/>
    <col min="14612" max="14612" width="10" style="2" customWidth="1"/>
    <col min="14613" max="14624" width="10.7109375" style="2" customWidth="1"/>
    <col min="14625" max="14625" width="38.42578125" style="2" customWidth="1"/>
    <col min="14626" max="14626" width="17" style="2" customWidth="1"/>
    <col min="14627" max="14629" width="11.42578125" style="2"/>
    <col min="14630" max="14630" width="9.42578125" style="2" customWidth="1"/>
    <col min="14631" max="14631" width="11.42578125" style="2" customWidth="1"/>
    <col min="14632" max="14632" width="50.28515625" style="2" customWidth="1"/>
    <col min="14633" max="14634" width="11.42578125" style="2"/>
    <col min="14635" max="14635" width="15.42578125" style="2" customWidth="1"/>
    <col min="14636" max="14848" width="11.42578125" style="2"/>
    <col min="14849" max="14849" width="5.28515625" style="2" customWidth="1"/>
    <col min="14850" max="14850" width="5.85546875" style="2" customWidth="1"/>
    <col min="14851" max="14851" width="34.85546875" style="2" customWidth="1"/>
    <col min="14852" max="14852" width="8.85546875" style="2" customWidth="1"/>
    <col min="14853" max="14853" width="14.7109375" style="2" bestFit="1" customWidth="1"/>
    <col min="14854" max="14863" width="9.7109375" style="2" customWidth="1"/>
    <col min="14864" max="14864" width="5.7109375" style="2" customWidth="1"/>
    <col min="14865" max="14865" width="6.28515625" style="2" customWidth="1"/>
    <col min="14866" max="14866" width="7.7109375" style="2" customWidth="1"/>
    <col min="14867" max="14867" width="8.42578125" style="2" customWidth="1"/>
    <col min="14868" max="14868" width="10" style="2" customWidth="1"/>
    <col min="14869" max="14880" width="10.7109375" style="2" customWidth="1"/>
    <col min="14881" max="14881" width="38.42578125" style="2" customWidth="1"/>
    <col min="14882" max="14882" width="17" style="2" customWidth="1"/>
    <col min="14883" max="14885" width="11.42578125" style="2"/>
    <col min="14886" max="14886" width="9.42578125" style="2" customWidth="1"/>
    <col min="14887" max="14887" width="11.42578125" style="2" customWidth="1"/>
    <col min="14888" max="14888" width="50.28515625" style="2" customWidth="1"/>
    <col min="14889" max="14890" width="11.42578125" style="2"/>
    <col min="14891" max="14891" width="15.42578125" style="2" customWidth="1"/>
    <col min="14892" max="15104" width="11.42578125" style="2"/>
    <col min="15105" max="15105" width="5.28515625" style="2" customWidth="1"/>
    <col min="15106" max="15106" width="5.85546875" style="2" customWidth="1"/>
    <col min="15107" max="15107" width="34.85546875" style="2" customWidth="1"/>
    <col min="15108" max="15108" width="8.85546875" style="2" customWidth="1"/>
    <col min="15109" max="15109" width="14.7109375" style="2" bestFit="1" customWidth="1"/>
    <col min="15110" max="15119" width="9.7109375" style="2" customWidth="1"/>
    <col min="15120" max="15120" width="5.7109375" style="2" customWidth="1"/>
    <col min="15121" max="15121" width="6.28515625" style="2" customWidth="1"/>
    <col min="15122" max="15122" width="7.7109375" style="2" customWidth="1"/>
    <col min="15123" max="15123" width="8.42578125" style="2" customWidth="1"/>
    <col min="15124" max="15124" width="10" style="2" customWidth="1"/>
    <col min="15125" max="15136" width="10.7109375" style="2" customWidth="1"/>
    <col min="15137" max="15137" width="38.42578125" style="2" customWidth="1"/>
    <col min="15138" max="15138" width="17" style="2" customWidth="1"/>
    <col min="15139" max="15141" width="11.42578125" style="2"/>
    <col min="15142" max="15142" width="9.42578125" style="2" customWidth="1"/>
    <col min="15143" max="15143" width="11.42578125" style="2" customWidth="1"/>
    <col min="15144" max="15144" width="50.28515625" style="2" customWidth="1"/>
    <col min="15145" max="15146" width="11.42578125" style="2"/>
    <col min="15147" max="15147" width="15.42578125" style="2" customWidth="1"/>
    <col min="15148" max="15360" width="11.42578125" style="2"/>
    <col min="15361" max="15361" width="5.28515625" style="2" customWidth="1"/>
    <col min="15362" max="15362" width="5.85546875" style="2" customWidth="1"/>
    <col min="15363" max="15363" width="34.85546875" style="2" customWidth="1"/>
    <col min="15364" max="15364" width="8.85546875" style="2" customWidth="1"/>
    <col min="15365" max="15365" width="14.7109375" style="2" bestFit="1" customWidth="1"/>
    <col min="15366" max="15375" width="9.7109375" style="2" customWidth="1"/>
    <col min="15376" max="15376" width="5.7109375" style="2" customWidth="1"/>
    <col min="15377" max="15377" width="6.28515625" style="2" customWidth="1"/>
    <col min="15378" max="15378" width="7.7109375" style="2" customWidth="1"/>
    <col min="15379" max="15379" width="8.42578125" style="2" customWidth="1"/>
    <col min="15380" max="15380" width="10" style="2" customWidth="1"/>
    <col min="15381" max="15392" width="10.7109375" style="2" customWidth="1"/>
    <col min="15393" max="15393" width="38.42578125" style="2" customWidth="1"/>
    <col min="15394" max="15394" width="17" style="2" customWidth="1"/>
    <col min="15395" max="15397" width="11.42578125" style="2"/>
    <col min="15398" max="15398" width="9.42578125" style="2" customWidth="1"/>
    <col min="15399" max="15399" width="11.42578125" style="2" customWidth="1"/>
    <col min="15400" max="15400" width="50.28515625" style="2" customWidth="1"/>
    <col min="15401" max="15402" width="11.42578125" style="2"/>
    <col min="15403" max="15403" width="15.42578125" style="2" customWidth="1"/>
    <col min="15404" max="15616" width="11.42578125" style="2"/>
    <col min="15617" max="15617" width="5.28515625" style="2" customWidth="1"/>
    <col min="15618" max="15618" width="5.85546875" style="2" customWidth="1"/>
    <col min="15619" max="15619" width="34.85546875" style="2" customWidth="1"/>
    <col min="15620" max="15620" width="8.85546875" style="2" customWidth="1"/>
    <col min="15621" max="15621" width="14.7109375" style="2" bestFit="1" customWidth="1"/>
    <col min="15622" max="15631" width="9.7109375" style="2" customWidth="1"/>
    <col min="15632" max="15632" width="5.7109375" style="2" customWidth="1"/>
    <col min="15633" max="15633" width="6.28515625" style="2" customWidth="1"/>
    <col min="15634" max="15634" width="7.7109375" style="2" customWidth="1"/>
    <col min="15635" max="15635" width="8.42578125" style="2" customWidth="1"/>
    <col min="15636" max="15636" width="10" style="2" customWidth="1"/>
    <col min="15637" max="15648" width="10.7109375" style="2" customWidth="1"/>
    <col min="15649" max="15649" width="38.42578125" style="2" customWidth="1"/>
    <col min="15650" max="15650" width="17" style="2" customWidth="1"/>
    <col min="15651" max="15653" width="11.42578125" style="2"/>
    <col min="15654" max="15654" width="9.42578125" style="2" customWidth="1"/>
    <col min="15655" max="15655" width="11.42578125" style="2" customWidth="1"/>
    <col min="15656" max="15656" width="50.28515625" style="2" customWidth="1"/>
    <col min="15657" max="15658" width="11.42578125" style="2"/>
    <col min="15659" max="15659" width="15.42578125" style="2" customWidth="1"/>
    <col min="15660" max="15872" width="11.42578125" style="2"/>
    <col min="15873" max="15873" width="5.28515625" style="2" customWidth="1"/>
    <col min="15874" max="15874" width="5.85546875" style="2" customWidth="1"/>
    <col min="15875" max="15875" width="34.85546875" style="2" customWidth="1"/>
    <col min="15876" max="15876" width="8.85546875" style="2" customWidth="1"/>
    <col min="15877" max="15877" width="14.7109375" style="2" bestFit="1" customWidth="1"/>
    <col min="15878" max="15887" width="9.7109375" style="2" customWidth="1"/>
    <col min="15888" max="15888" width="5.7109375" style="2" customWidth="1"/>
    <col min="15889" max="15889" width="6.28515625" style="2" customWidth="1"/>
    <col min="15890" max="15890" width="7.7109375" style="2" customWidth="1"/>
    <col min="15891" max="15891" width="8.42578125" style="2" customWidth="1"/>
    <col min="15892" max="15892" width="10" style="2" customWidth="1"/>
    <col min="15893" max="15904" width="10.7109375" style="2" customWidth="1"/>
    <col min="15905" max="15905" width="38.42578125" style="2" customWidth="1"/>
    <col min="15906" max="15906" width="17" style="2" customWidth="1"/>
    <col min="15907" max="15909" width="11.42578125" style="2"/>
    <col min="15910" max="15910" width="9.42578125" style="2" customWidth="1"/>
    <col min="15911" max="15911" width="11.42578125" style="2" customWidth="1"/>
    <col min="15912" max="15912" width="50.28515625" style="2" customWidth="1"/>
    <col min="15913" max="15914" width="11.42578125" style="2"/>
    <col min="15915" max="15915" width="15.42578125" style="2" customWidth="1"/>
    <col min="15916" max="16128" width="11.42578125" style="2"/>
    <col min="16129" max="16129" width="5.28515625" style="2" customWidth="1"/>
    <col min="16130" max="16130" width="5.85546875" style="2" customWidth="1"/>
    <col min="16131" max="16131" width="34.85546875" style="2" customWidth="1"/>
    <col min="16132" max="16132" width="8.85546875" style="2" customWidth="1"/>
    <col min="16133" max="16133" width="14.7109375" style="2" bestFit="1" customWidth="1"/>
    <col min="16134" max="16143" width="9.7109375" style="2" customWidth="1"/>
    <col min="16144" max="16144" width="5.7109375" style="2" customWidth="1"/>
    <col min="16145" max="16145" width="6.28515625" style="2" customWidth="1"/>
    <col min="16146" max="16146" width="7.7109375" style="2" customWidth="1"/>
    <col min="16147" max="16147" width="8.42578125" style="2" customWidth="1"/>
    <col min="16148" max="16148" width="10" style="2" customWidth="1"/>
    <col min="16149" max="16160" width="10.7109375" style="2" customWidth="1"/>
    <col min="16161" max="16161" width="38.42578125" style="2" customWidth="1"/>
    <col min="16162" max="16162" width="17" style="2" customWidth="1"/>
    <col min="16163" max="16165" width="11.42578125" style="2"/>
    <col min="16166" max="16166" width="9.42578125" style="2" customWidth="1"/>
    <col min="16167" max="16167" width="11.42578125" style="2" customWidth="1"/>
    <col min="16168" max="16168" width="50.28515625" style="2" customWidth="1"/>
    <col min="16169" max="16170" width="11.42578125" style="2"/>
    <col min="16171" max="16171" width="15.42578125" style="2" customWidth="1"/>
    <col min="16172" max="16384" width="11.42578125" style="2"/>
  </cols>
  <sheetData>
    <row r="1" spans="2:52" ht="49.5" customHeight="1" x14ac:dyDescent="0.2">
      <c r="B1" s="79"/>
      <c r="C1" s="80"/>
      <c r="D1" s="83" t="s">
        <v>84</v>
      </c>
      <c r="E1" s="84"/>
      <c r="F1" s="84"/>
      <c r="G1" s="84"/>
      <c r="H1" s="84"/>
      <c r="I1" s="84"/>
      <c r="J1" s="84"/>
      <c r="K1" s="84"/>
      <c r="L1" s="84"/>
      <c r="M1" s="84"/>
      <c r="N1" s="84"/>
      <c r="O1" s="85"/>
      <c r="P1" s="1"/>
      <c r="Q1" s="1"/>
      <c r="R1" s="1"/>
      <c r="S1" s="1"/>
      <c r="T1" s="1"/>
      <c r="U1" s="1"/>
    </row>
    <row r="2" spans="2:52" ht="58.5" customHeight="1" x14ac:dyDescent="0.2">
      <c r="B2" s="81"/>
      <c r="C2" s="82"/>
      <c r="D2" s="86"/>
      <c r="E2" s="87"/>
      <c r="F2" s="87"/>
      <c r="G2" s="87"/>
      <c r="H2" s="87"/>
      <c r="I2" s="87"/>
      <c r="J2" s="87"/>
      <c r="K2" s="87"/>
      <c r="L2" s="87"/>
      <c r="M2" s="87"/>
      <c r="N2" s="87"/>
      <c r="O2" s="88"/>
      <c r="P2" s="1"/>
      <c r="Q2" s="1"/>
      <c r="R2" s="1"/>
      <c r="S2" s="1"/>
      <c r="T2" s="1"/>
      <c r="U2" s="1"/>
    </row>
    <row r="4" spans="2:52" s="3" customFormat="1" ht="24.95" customHeight="1" x14ac:dyDescent="0.2">
      <c r="B4" s="89" t="s">
        <v>23</v>
      </c>
      <c r="C4" s="89"/>
      <c r="D4" s="90">
        <v>44357</v>
      </c>
      <c r="E4" s="90"/>
      <c r="F4" s="90"/>
      <c r="H4" s="4"/>
    </row>
    <row r="5" spans="2:52" s="3" customFormat="1" ht="24.95" customHeight="1" thickBot="1" x14ac:dyDescent="0.25">
      <c r="B5" s="89" t="s">
        <v>24</v>
      </c>
      <c r="C5" s="89"/>
      <c r="D5" s="78">
        <v>57</v>
      </c>
      <c r="E5" s="78"/>
      <c r="F5" s="78"/>
      <c r="H5" s="4"/>
    </row>
    <row r="6" spans="2:52" s="3" customFormat="1" ht="24.95" customHeight="1" x14ac:dyDescent="0.25">
      <c r="B6" s="89" t="s">
        <v>25</v>
      </c>
      <c r="C6" s="89"/>
      <c r="D6" s="75">
        <v>26</v>
      </c>
      <c r="E6" s="5"/>
      <c r="F6" s="5"/>
      <c r="R6" s="91" t="s">
        <v>26</v>
      </c>
      <c r="S6" s="92"/>
      <c r="T6" s="92"/>
      <c r="U6" s="92"/>
      <c r="V6" s="92"/>
      <c r="W6" s="92"/>
      <c r="X6" s="92"/>
      <c r="Y6" s="92"/>
      <c r="Z6" s="92"/>
      <c r="AA6" s="92"/>
      <c r="AB6" s="92"/>
      <c r="AC6" s="92"/>
      <c r="AD6" s="92"/>
      <c r="AE6" s="92"/>
      <c r="AF6" s="92"/>
      <c r="AG6" s="92"/>
      <c r="AH6" s="92"/>
      <c r="AI6" s="93"/>
    </row>
    <row r="7" spans="2:52" ht="15" customHeight="1" x14ac:dyDescent="0.2">
      <c r="R7" s="94"/>
      <c r="S7" s="95"/>
      <c r="T7" s="95"/>
      <c r="U7" s="95"/>
      <c r="V7" s="95"/>
      <c r="W7" s="95"/>
      <c r="X7" s="95"/>
      <c r="Y7" s="95"/>
      <c r="Z7" s="95"/>
      <c r="AA7" s="95"/>
      <c r="AB7" s="95"/>
      <c r="AC7" s="95"/>
      <c r="AD7" s="95"/>
      <c r="AE7" s="95"/>
      <c r="AF7" s="95"/>
      <c r="AG7" s="95"/>
      <c r="AH7" s="95"/>
      <c r="AI7" s="96"/>
    </row>
    <row r="8" spans="2:52" ht="24.75" customHeight="1" x14ac:dyDescent="0.2">
      <c r="B8" s="100" t="s">
        <v>27</v>
      </c>
      <c r="C8" s="55" t="s">
        <v>28</v>
      </c>
      <c r="D8" s="56" t="s">
        <v>7</v>
      </c>
      <c r="E8" s="56" t="s">
        <v>8</v>
      </c>
      <c r="F8" s="56" t="s">
        <v>9</v>
      </c>
      <c r="G8" s="56" t="s">
        <v>10</v>
      </c>
      <c r="H8" s="56" t="s">
        <v>11</v>
      </c>
      <c r="I8" s="56" t="s">
        <v>12</v>
      </c>
      <c r="J8" s="56" t="s">
        <v>13</v>
      </c>
      <c r="K8" s="56" t="s">
        <v>14</v>
      </c>
      <c r="L8" s="56" t="s">
        <v>15</v>
      </c>
      <c r="M8" s="56" t="s">
        <v>16</v>
      </c>
      <c r="N8" s="56" t="s">
        <v>17</v>
      </c>
      <c r="O8" s="56" t="s">
        <v>18</v>
      </c>
      <c r="Q8" s="6"/>
      <c r="R8" s="94"/>
      <c r="S8" s="95"/>
      <c r="T8" s="95"/>
      <c r="U8" s="95"/>
      <c r="V8" s="95"/>
      <c r="W8" s="95"/>
      <c r="X8" s="95"/>
      <c r="Y8" s="95"/>
      <c r="Z8" s="95"/>
      <c r="AA8" s="95"/>
      <c r="AB8" s="95"/>
      <c r="AC8" s="95"/>
      <c r="AD8" s="95"/>
      <c r="AE8" s="95"/>
      <c r="AF8" s="95"/>
      <c r="AG8" s="95"/>
      <c r="AH8" s="95"/>
      <c r="AI8" s="96"/>
      <c r="AJ8" s="7"/>
      <c r="AK8" s="7"/>
      <c r="AL8" s="7"/>
      <c r="AM8" s="7"/>
      <c r="AN8" s="7"/>
      <c r="AO8" s="7"/>
      <c r="AP8" s="7"/>
      <c r="AQ8" s="7"/>
    </row>
    <row r="9" spans="2:52" ht="24.75" customHeight="1" x14ac:dyDescent="0.2">
      <c r="B9" s="101"/>
      <c r="C9" s="8" t="s">
        <v>29</v>
      </c>
      <c r="D9" s="9">
        <v>0</v>
      </c>
      <c r="E9" s="9">
        <v>0</v>
      </c>
      <c r="F9" s="9">
        <v>0</v>
      </c>
      <c r="G9" s="9">
        <v>0</v>
      </c>
      <c r="H9" s="9">
        <v>0</v>
      </c>
      <c r="I9" s="9">
        <v>0</v>
      </c>
      <c r="J9" s="9">
        <v>0</v>
      </c>
      <c r="K9" s="9"/>
      <c r="L9" s="9"/>
      <c r="M9" s="9"/>
      <c r="N9" s="9"/>
      <c r="O9" s="9"/>
      <c r="Q9" s="6"/>
      <c r="R9" s="94"/>
      <c r="S9" s="95"/>
      <c r="T9" s="95"/>
      <c r="U9" s="95"/>
      <c r="V9" s="95"/>
      <c r="W9" s="95"/>
      <c r="X9" s="95"/>
      <c r="Y9" s="95"/>
      <c r="Z9" s="95"/>
      <c r="AA9" s="95"/>
      <c r="AB9" s="95"/>
      <c r="AC9" s="95"/>
      <c r="AD9" s="95"/>
      <c r="AE9" s="95"/>
      <c r="AF9" s="95"/>
      <c r="AG9" s="95"/>
      <c r="AH9" s="95"/>
      <c r="AI9" s="96"/>
      <c r="AJ9" s="7"/>
      <c r="AK9" s="7"/>
      <c r="AL9" s="7"/>
      <c r="AM9" s="7"/>
      <c r="AN9" s="7"/>
      <c r="AO9" s="7"/>
      <c r="AP9" s="7"/>
      <c r="AQ9" s="7"/>
    </row>
    <row r="10" spans="2:52" ht="24.75" customHeight="1" x14ac:dyDescent="0.2">
      <c r="B10" s="101"/>
      <c r="C10" s="10" t="s">
        <v>30</v>
      </c>
      <c r="D10" s="9">
        <v>0</v>
      </c>
      <c r="E10" s="9">
        <v>0</v>
      </c>
      <c r="F10" s="9">
        <v>0</v>
      </c>
      <c r="G10" s="9">
        <v>0</v>
      </c>
      <c r="H10" s="9">
        <v>0</v>
      </c>
      <c r="I10" s="9">
        <v>0</v>
      </c>
      <c r="J10" s="9">
        <v>0</v>
      </c>
      <c r="K10" s="9"/>
      <c r="L10" s="9"/>
      <c r="M10" s="9"/>
      <c r="N10" s="9"/>
      <c r="O10" s="9"/>
      <c r="Q10" s="6"/>
      <c r="R10" s="94"/>
      <c r="S10" s="95"/>
      <c r="T10" s="95"/>
      <c r="U10" s="95"/>
      <c r="V10" s="95"/>
      <c r="W10" s="95"/>
      <c r="X10" s="95"/>
      <c r="Y10" s="95"/>
      <c r="Z10" s="95"/>
      <c r="AA10" s="95"/>
      <c r="AB10" s="95"/>
      <c r="AC10" s="95"/>
      <c r="AD10" s="95"/>
      <c r="AE10" s="95"/>
      <c r="AF10" s="95"/>
      <c r="AG10" s="95"/>
      <c r="AH10" s="95"/>
      <c r="AI10" s="96"/>
      <c r="AJ10" s="7"/>
      <c r="AK10" s="7"/>
      <c r="AL10" s="7"/>
      <c r="AM10" s="7"/>
      <c r="AN10" s="7"/>
      <c r="AO10" s="7"/>
      <c r="AP10" s="7"/>
      <c r="AQ10" s="7"/>
    </row>
    <row r="11" spans="2:52" ht="24.75" customHeight="1" x14ac:dyDescent="0.2">
      <c r="B11" s="101"/>
      <c r="C11" s="11" t="s">
        <v>31</v>
      </c>
      <c r="D11" s="66">
        <f>((D16+D21)/D23)*100</f>
        <v>0</v>
      </c>
      <c r="E11" s="66">
        <f>((E16+E21)/E23)</f>
        <v>0</v>
      </c>
      <c r="F11" s="66">
        <f t="shared" ref="F11:O11" si="0">((F16+F21)/F23)</f>
        <v>0</v>
      </c>
      <c r="G11" s="66">
        <f t="shared" si="0"/>
        <v>0</v>
      </c>
      <c r="H11" s="66">
        <f t="shared" si="0"/>
        <v>0</v>
      </c>
      <c r="I11" s="66">
        <f t="shared" si="0"/>
        <v>0.24</v>
      </c>
      <c r="J11" s="66">
        <f t="shared" si="0"/>
        <v>0</v>
      </c>
      <c r="K11" s="66" t="e">
        <f t="shared" si="0"/>
        <v>#DIV/0!</v>
      </c>
      <c r="L11" s="66" t="e">
        <f t="shared" si="0"/>
        <v>#DIV/0!</v>
      </c>
      <c r="M11" s="66" t="e">
        <f t="shared" si="0"/>
        <v>#DIV/0!</v>
      </c>
      <c r="N11" s="66" t="e">
        <f t="shared" si="0"/>
        <v>#DIV/0!</v>
      </c>
      <c r="O11" s="66" t="e">
        <f t="shared" si="0"/>
        <v>#DIV/0!</v>
      </c>
      <c r="Q11" s="6"/>
      <c r="R11" s="94"/>
      <c r="S11" s="95"/>
      <c r="T11" s="95"/>
      <c r="U11" s="95"/>
      <c r="V11" s="95"/>
      <c r="W11" s="95"/>
      <c r="X11" s="95"/>
      <c r="Y11" s="95"/>
      <c r="Z11" s="95"/>
      <c r="AA11" s="95"/>
      <c r="AB11" s="95"/>
      <c r="AC11" s="95"/>
      <c r="AD11" s="95"/>
      <c r="AE11" s="95"/>
      <c r="AF11" s="95"/>
      <c r="AG11" s="95"/>
      <c r="AH11" s="95"/>
      <c r="AI11" s="96"/>
      <c r="AJ11" s="7"/>
      <c r="AK11" s="7"/>
      <c r="AL11" s="7"/>
      <c r="AM11" s="7"/>
      <c r="AN11" s="7"/>
      <c r="AO11" s="7"/>
      <c r="AP11" s="7"/>
      <c r="AQ11" s="7"/>
    </row>
    <row r="12" spans="2:52" ht="35.1" customHeight="1" x14ac:dyDescent="0.2">
      <c r="B12" s="101"/>
      <c r="C12" s="11" t="s">
        <v>32</v>
      </c>
      <c r="D12" s="66">
        <f>((D14+D18)/D23)*100</f>
        <v>0</v>
      </c>
      <c r="E12" s="68">
        <f>((E14+E18)/E23)</f>
        <v>0</v>
      </c>
      <c r="F12" s="66">
        <f>((F14+F18)/F23)</f>
        <v>0</v>
      </c>
      <c r="G12" s="68">
        <f t="shared" ref="G12:O12" si="1">((G14+G18)/G23)</f>
        <v>0</v>
      </c>
      <c r="H12" s="66">
        <f>((H14+H18+H15)/H23)</f>
        <v>0.02</v>
      </c>
      <c r="I12" s="66">
        <f t="shared" si="1"/>
        <v>0.02</v>
      </c>
      <c r="J12" s="66">
        <f t="shared" si="1"/>
        <v>0</v>
      </c>
      <c r="K12" s="66" t="e">
        <f t="shared" si="1"/>
        <v>#DIV/0!</v>
      </c>
      <c r="L12" s="66" t="e">
        <f t="shared" si="1"/>
        <v>#DIV/0!</v>
      </c>
      <c r="M12" s="66" t="e">
        <f t="shared" si="1"/>
        <v>#DIV/0!</v>
      </c>
      <c r="N12" s="66" t="e">
        <f t="shared" si="1"/>
        <v>#DIV/0!</v>
      </c>
      <c r="O12" s="66" t="e">
        <f t="shared" si="1"/>
        <v>#DIV/0!</v>
      </c>
      <c r="R12" s="94"/>
      <c r="S12" s="95"/>
      <c r="T12" s="95"/>
      <c r="U12" s="95"/>
      <c r="V12" s="95"/>
      <c r="W12" s="95"/>
      <c r="X12" s="95"/>
      <c r="Y12" s="95"/>
      <c r="Z12" s="95"/>
      <c r="AA12" s="95"/>
      <c r="AB12" s="95"/>
      <c r="AC12" s="95"/>
      <c r="AD12" s="95"/>
      <c r="AE12" s="95"/>
      <c r="AF12" s="95"/>
      <c r="AG12" s="95"/>
      <c r="AH12" s="95"/>
      <c r="AI12" s="96"/>
      <c r="AJ12" s="12"/>
      <c r="AK12" s="12"/>
      <c r="AL12" s="12"/>
      <c r="AM12" s="7"/>
      <c r="AN12" s="7"/>
      <c r="AO12" s="7"/>
      <c r="AP12" s="7"/>
      <c r="AQ12" s="7"/>
    </row>
    <row r="13" spans="2:52" ht="35.1" customHeight="1" x14ac:dyDescent="0.2">
      <c r="B13" s="101"/>
      <c r="C13" s="11" t="s">
        <v>87</v>
      </c>
      <c r="D13" s="124">
        <v>0</v>
      </c>
      <c r="E13" s="125"/>
      <c r="F13" s="125"/>
      <c r="G13" s="125"/>
      <c r="H13" s="125"/>
      <c r="I13" s="125"/>
      <c r="J13" s="125"/>
      <c r="K13" s="125"/>
      <c r="L13" s="125"/>
      <c r="M13" s="125"/>
      <c r="N13" s="125"/>
      <c r="O13" s="126"/>
      <c r="R13" s="94"/>
      <c r="S13" s="95"/>
      <c r="T13" s="95"/>
      <c r="U13" s="95"/>
      <c r="V13" s="95"/>
      <c r="W13" s="95"/>
      <c r="X13" s="95"/>
      <c r="Y13" s="95"/>
      <c r="Z13" s="95"/>
      <c r="AA13" s="95"/>
      <c r="AB13" s="95"/>
      <c r="AC13" s="95"/>
      <c r="AD13" s="95"/>
      <c r="AE13" s="95"/>
      <c r="AF13" s="95"/>
      <c r="AG13" s="95"/>
      <c r="AH13" s="95"/>
      <c r="AI13" s="96"/>
      <c r="AJ13" s="12"/>
      <c r="AK13" s="12"/>
      <c r="AL13" s="12"/>
      <c r="AM13" s="7"/>
      <c r="AN13" s="7"/>
      <c r="AO13" s="7"/>
      <c r="AP13" s="7"/>
      <c r="AQ13" s="7"/>
    </row>
    <row r="14" spans="2:52" ht="47.25" customHeight="1" thickBot="1" x14ac:dyDescent="0.25">
      <c r="B14" s="101"/>
      <c r="C14" s="13" t="s">
        <v>33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1</v>
      </c>
      <c r="J14" s="14">
        <v>0</v>
      </c>
      <c r="K14" s="14"/>
      <c r="L14" s="14"/>
      <c r="M14" s="9"/>
      <c r="N14" s="14"/>
      <c r="O14" s="15"/>
      <c r="R14" s="97"/>
      <c r="S14" s="98"/>
      <c r="T14" s="98"/>
      <c r="U14" s="98"/>
      <c r="V14" s="98"/>
      <c r="W14" s="98"/>
      <c r="X14" s="98"/>
      <c r="Y14" s="98"/>
      <c r="Z14" s="98"/>
      <c r="AA14" s="98"/>
      <c r="AB14" s="98"/>
      <c r="AC14" s="98"/>
      <c r="AD14" s="98"/>
      <c r="AE14" s="98"/>
      <c r="AF14" s="98"/>
      <c r="AG14" s="98"/>
      <c r="AH14" s="98"/>
      <c r="AI14" s="99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</row>
    <row r="15" spans="2:52" ht="35.1" customHeight="1" thickBot="1" x14ac:dyDescent="0.25">
      <c r="B15" s="101"/>
      <c r="C15" s="16" t="s">
        <v>34</v>
      </c>
      <c r="D15" s="17">
        <v>0</v>
      </c>
      <c r="E15" s="17">
        <v>0</v>
      </c>
      <c r="F15" s="17">
        <v>0</v>
      </c>
      <c r="G15" s="17">
        <v>0</v>
      </c>
      <c r="H15" s="17">
        <v>1</v>
      </c>
      <c r="I15" s="17">
        <v>0</v>
      </c>
      <c r="J15" s="17">
        <v>0</v>
      </c>
      <c r="K15" s="17"/>
      <c r="L15" s="17"/>
      <c r="M15" s="9"/>
      <c r="N15" s="17"/>
      <c r="O15" s="18"/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19"/>
      <c r="AF15" s="19"/>
      <c r="AG15" s="19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2"/>
    </row>
    <row r="16" spans="2:52" ht="35.1" customHeight="1" x14ac:dyDescent="0.2">
      <c r="B16" s="101"/>
      <c r="C16" s="16" t="s">
        <v>35</v>
      </c>
      <c r="D16" s="17">
        <v>0</v>
      </c>
      <c r="E16" s="17">
        <v>0</v>
      </c>
      <c r="F16" s="17">
        <v>0</v>
      </c>
      <c r="G16" s="17">
        <v>0</v>
      </c>
      <c r="H16" s="17">
        <v>0</v>
      </c>
      <c r="I16" s="17">
        <v>12</v>
      </c>
      <c r="J16" s="17">
        <v>0</v>
      </c>
      <c r="K16" s="17"/>
      <c r="L16" s="17"/>
      <c r="M16" s="9"/>
      <c r="N16" s="17"/>
      <c r="O16" s="18"/>
      <c r="R16" s="103"/>
      <c r="S16" s="104"/>
      <c r="T16" s="104"/>
      <c r="U16" s="104"/>
      <c r="V16" s="104"/>
      <c r="W16" s="104"/>
      <c r="X16" s="104"/>
      <c r="Y16" s="104"/>
      <c r="Z16" s="104"/>
      <c r="AA16" s="104"/>
      <c r="AB16" s="104"/>
      <c r="AC16" s="104"/>
      <c r="AD16" s="104"/>
      <c r="AE16" s="104"/>
      <c r="AF16" s="104"/>
      <c r="AG16" s="104"/>
      <c r="AH16" s="104"/>
      <c r="AI16" s="105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</row>
    <row r="17" spans="2:52" ht="35.1" customHeight="1" x14ac:dyDescent="0.2">
      <c r="B17" s="101"/>
      <c r="C17" s="16" t="s">
        <v>85</v>
      </c>
      <c r="D17" s="17">
        <f>24*D23</f>
        <v>1176</v>
      </c>
      <c r="E17" s="17">
        <f>26*E23</f>
        <v>1300</v>
      </c>
      <c r="F17" s="17">
        <f>23*F23</f>
        <v>1150</v>
      </c>
      <c r="G17" s="17">
        <f>26*G23</f>
        <v>1300</v>
      </c>
      <c r="H17" s="17">
        <f>26*H23</f>
        <v>1300</v>
      </c>
      <c r="I17" s="17">
        <f>24*I23</f>
        <v>1200</v>
      </c>
      <c r="J17" s="17">
        <f>26*J23</f>
        <v>1300</v>
      </c>
      <c r="K17" s="17"/>
      <c r="L17" s="17"/>
      <c r="M17" s="9"/>
      <c r="N17" s="9"/>
      <c r="O17" s="9"/>
      <c r="R17" s="106"/>
      <c r="S17" s="107"/>
      <c r="T17" s="107"/>
      <c r="U17" s="107"/>
      <c r="V17" s="107"/>
      <c r="W17" s="107"/>
      <c r="X17" s="107"/>
      <c r="Y17" s="107"/>
      <c r="Z17" s="107"/>
      <c r="AA17" s="107"/>
      <c r="AB17" s="107"/>
      <c r="AC17" s="107"/>
      <c r="AD17" s="107"/>
      <c r="AE17" s="107"/>
      <c r="AF17" s="107"/>
      <c r="AG17" s="107"/>
      <c r="AH17" s="107"/>
      <c r="AI17" s="108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</row>
    <row r="18" spans="2:52" ht="35.1" customHeight="1" thickBot="1" x14ac:dyDescent="0.25">
      <c r="B18" s="101"/>
      <c r="C18" s="20" t="s">
        <v>36</v>
      </c>
      <c r="D18" s="17">
        <v>0</v>
      </c>
      <c r="E18" s="17">
        <v>0</v>
      </c>
      <c r="F18" s="17">
        <v>0</v>
      </c>
      <c r="G18" s="17">
        <v>0</v>
      </c>
      <c r="H18" s="17">
        <v>0</v>
      </c>
      <c r="I18" s="17">
        <v>0</v>
      </c>
      <c r="J18" s="17">
        <v>0</v>
      </c>
      <c r="K18" s="17"/>
      <c r="L18" s="17"/>
      <c r="M18" s="9"/>
      <c r="N18" s="17"/>
      <c r="O18" s="18"/>
      <c r="R18" s="109"/>
      <c r="S18" s="110"/>
      <c r="T18" s="110"/>
      <c r="U18" s="110"/>
      <c r="V18" s="110"/>
      <c r="W18" s="110"/>
      <c r="X18" s="110"/>
      <c r="Y18" s="110"/>
      <c r="Z18" s="110"/>
      <c r="AA18" s="110"/>
      <c r="AB18" s="110"/>
      <c r="AC18" s="110"/>
      <c r="AD18" s="110"/>
      <c r="AE18" s="110"/>
      <c r="AF18" s="110"/>
      <c r="AG18" s="110"/>
      <c r="AH18" s="110"/>
      <c r="AI18" s="111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</row>
    <row r="19" spans="2:52" ht="35.1" customHeight="1" thickBot="1" x14ac:dyDescent="0.25">
      <c r="B19" s="101"/>
      <c r="C19" s="20" t="s">
        <v>37</v>
      </c>
      <c r="D19" s="17">
        <v>0</v>
      </c>
      <c r="E19" s="17">
        <v>0</v>
      </c>
      <c r="F19" s="17">
        <v>0</v>
      </c>
      <c r="G19" s="17">
        <v>0</v>
      </c>
      <c r="H19" s="17">
        <v>0</v>
      </c>
      <c r="I19" s="17">
        <v>0</v>
      </c>
      <c r="J19" s="17">
        <v>0</v>
      </c>
      <c r="K19" s="17"/>
      <c r="L19" s="17"/>
      <c r="M19" s="9"/>
      <c r="N19" s="17"/>
      <c r="O19" s="18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</row>
    <row r="20" spans="2:52" ht="35.1" customHeight="1" x14ac:dyDescent="0.2">
      <c r="B20" s="101"/>
      <c r="C20" s="20" t="s">
        <v>38</v>
      </c>
      <c r="D20" s="17">
        <v>0</v>
      </c>
      <c r="E20" s="17">
        <v>0</v>
      </c>
      <c r="F20" s="17">
        <v>0</v>
      </c>
      <c r="G20" s="17">
        <v>0</v>
      </c>
      <c r="H20" s="17">
        <v>0</v>
      </c>
      <c r="I20" s="17">
        <v>0</v>
      </c>
      <c r="J20" s="17">
        <v>0</v>
      </c>
      <c r="K20" s="17"/>
      <c r="L20" s="17"/>
      <c r="M20" s="9"/>
      <c r="N20" s="17"/>
      <c r="O20" s="18"/>
      <c r="R20" s="112"/>
      <c r="S20" s="113"/>
      <c r="T20" s="113"/>
      <c r="U20" s="113"/>
      <c r="V20" s="113"/>
      <c r="W20" s="113"/>
      <c r="X20" s="113"/>
      <c r="Y20" s="113"/>
      <c r="Z20" s="113"/>
      <c r="AA20" s="113"/>
      <c r="AB20" s="113"/>
      <c r="AC20" s="113"/>
      <c r="AD20" s="113"/>
      <c r="AE20" s="113"/>
      <c r="AF20" s="113"/>
      <c r="AG20" s="113"/>
      <c r="AH20" s="113"/>
      <c r="AI20" s="114"/>
      <c r="AJ20" s="12"/>
      <c r="AK20" s="12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</row>
    <row r="21" spans="2:52" ht="35.1" customHeight="1" x14ac:dyDescent="0.2">
      <c r="B21" s="101"/>
      <c r="C21" s="20" t="s">
        <v>39</v>
      </c>
      <c r="D21" s="21">
        <v>0</v>
      </c>
      <c r="E21" s="21">
        <v>0</v>
      </c>
      <c r="F21" s="21">
        <v>0</v>
      </c>
      <c r="G21" s="21">
        <v>0</v>
      </c>
      <c r="H21" s="21">
        <v>0</v>
      </c>
      <c r="I21" s="21">
        <v>0</v>
      </c>
      <c r="J21" s="21">
        <v>0</v>
      </c>
      <c r="K21" s="21"/>
      <c r="L21" s="21"/>
      <c r="M21" s="9"/>
      <c r="N21" s="21"/>
      <c r="O21" s="22"/>
      <c r="R21" s="115"/>
      <c r="S21" s="116"/>
      <c r="T21" s="116"/>
      <c r="U21" s="116"/>
      <c r="V21" s="116"/>
      <c r="W21" s="116"/>
      <c r="X21" s="116"/>
      <c r="Y21" s="116"/>
      <c r="Z21" s="116"/>
      <c r="AA21" s="116"/>
      <c r="AB21" s="116"/>
      <c r="AC21" s="116"/>
      <c r="AD21" s="116"/>
      <c r="AE21" s="116"/>
      <c r="AF21" s="116"/>
      <c r="AG21" s="116"/>
      <c r="AH21" s="116"/>
      <c r="AI21" s="117"/>
      <c r="AJ21" s="7"/>
      <c r="AK21" s="7"/>
      <c r="AL21" s="7"/>
      <c r="AM21" s="7"/>
      <c r="AN21" s="7"/>
      <c r="AO21" s="7"/>
      <c r="AP21" s="7"/>
      <c r="AQ21" s="7"/>
    </row>
    <row r="22" spans="2:52" ht="35.1" customHeight="1" x14ac:dyDescent="0.2">
      <c r="B22" s="101"/>
      <c r="C22" s="16" t="s">
        <v>40</v>
      </c>
      <c r="D22" s="23">
        <f>+D14+D15+D18</f>
        <v>0</v>
      </c>
      <c r="E22" s="24">
        <f t="shared" ref="E22:O22" si="2">+E14+E15+E18</f>
        <v>0</v>
      </c>
      <c r="F22" s="24">
        <f t="shared" si="2"/>
        <v>0</v>
      </c>
      <c r="G22" s="24">
        <f t="shared" si="2"/>
        <v>0</v>
      </c>
      <c r="H22" s="24">
        <f t="shared" si="2"/>
        <v>1</v>
      </c>
      <c r="I22" s="24">
        <f t="shared" si="2"/>
        <v>1</v>
      </c>
      <c r="J22" s="24">
        <f t="shared" si="2"/>
        <v>0</v>
      </c>
      <c r="K22" s="24">
        <f t="shared" si="2"/>
        <v>0</v>
      </c>
      <c r="L22" s="24">
        <f t="shared" si="2"/>
        <v>0</v>
      </c>
      <c r="M22" s="24">
        <f t="shared" si="2"/>
        <v>0</v>
      </c>
      <c r="N22" s="24">
        <f t="shared" si="2"/>
        <v>0</v>
      </c>
      <c r="O22" s="24">
        <f t="shared" si="2"/>
        <v>0</v>
      </c>
      <c r="R22" s="115"/>
      <c r="S22" s="116"/>
      <c r="T22" s="116"/>
      <c r="U22" s="116"/>
      <c r="V22" s="116"/>
      <c r="W22" s="116"/>
      <c r="X22" s="116"/>
      <c r="Y22" s="116"/>
      <c r="Z22" s="116"/>
      <c r="AA22" s="116"/>
      <c r="AB22" s="116"/>
      <c r="AC22" s="116"/>
      <c r="AD22" s="116"/>
      <c r="AE22" s="116"/>
      <c r="AF22" s="116"/>
      <c r="AG22" s="116"/>
      <c r="AH22" s="116"/>
      <c r="AI22" s="117"/>
      <c r="AJ22" s="7"/>
      <c r="AK22" s="7"/>
      <c r="AL22" s="7"/>
      <c r="AM22" s="7"/>
      <c r="AN22" s="7"/>
      <c r="AO22" s="7"/>
      <c r="AP22" s="7"/>
      <c r="AQ22" s="7"/>
    </row>
    <row r="23" spans="2:52" ht="35.1" customHeight="1" x14ac:dyDescent="0.2">
      <c r="B23" s="101"/>
      <c r="C23" s="16" t="s">
        <v>41</v>
      </c>
      <c r="D23" s="25">
        <v>49</v>
      </c>
      <c r="E23" s="26">
        <v>50</v>
      </c>
      <c r="F23" s="26">
        <v>50</v>
      </c>
      <c r="G23" s="26">
        <v>50</v>
      </c>
      <c r="H23" s="26">
        <v>50</v>
      </c>
      <c r="I23" s="26">
        <v>50</v>
      </c>
      <c r="J23" s="26">
        <v>50</v>
      </c>
      <c r="K23" s="26"/>
      <c r="L23" s="26"/>
      <c r="M23" s="26"/>
      <c r="N23" s="26"/>
      <c r="O23" s="27"/>
      <c r="R23" s="115"/>
      <c r="S23" s="116"/>
      <c r="T23" s="116"/>
      <c r="U23" s="116"/>
      <c r="V23" s="116"/>
      <c r="W23" s="116"/>
      <c r="X23" s="116"/>
      <c r="Y23" s="116"/>
      <c r="Z23" s="116"/>
      <c r="AA23" s="116"/>
      <c r="AB23" s="116"/>
      <c r="AC23" s="116"/>
      <c r="AD23" s="116"/>
      <c r="AE23" s="116"/>
      <c r="AF23" s="116"/>
      <c r="AG23" s="116"/>
      <c r="AH23" s="116"/>
      <c r="AI23" s="117"/>
      <c r="AJ23" s="7"/>
      <c r="AK23" s="7"/>
      <c r="AL23" s="7"/>
      <c r="AM23" s="7"/>
      <c r="AN23" s="7"/>
      <c r="AO23" s="7"/>
      <c r="AP23" s="7"/>
      <c r="AQ23" s="7"/>
    </row>
    <row r="24" spans="2:52" ht="37.5" customHeight="1" x14ac:dyDescent="0.2">
      <c r="B24" s="101"/>
      <c r="C24" s="16" t="s">
        <v>21</v>
      </c>
      <c r="D24" s="28">
        <f>IFERROR((D22/D23),"")</f>
        <v>0</v>
      </c>
      <c r="E24" s="29">
        <f>IFERROR((E22/E23),"")</f>
        <v>0</v>
      </c>
      <c r="F24" s="29">
        <f t="shared" ref="F24:O24" si="3">IFERROR((F22/F23),"")</f>
        <v>0</v>
      </c>
      <c r="G24" s="29">
        <f>IFERROR((G22/G23),"")</f>
        <v>0</v>
      </c>
      <c r="H24" s="29">
        <f t="shared" si="3"/>
        <v>0.02</v>
      </c>
      <c r="I24" s="29">
        <f t="shared" si="3"/>
        <v>0.02</v>
      </c>
      <c r="J24" s="29">
        <f t="shared" si="3"/>
        <v>0</v>
      </c>
      <c r="K24" s="29" t="str">
        <f t="shared" si="3"/>
        <v/>
      </c>
      <c r="L24" s="29" t="str">
        <f t="shared" si="3"/>
        <v/>
      </c>
      <c r="M24" s="29" t="str">
        <f t="shared" si="3"/>
        <v/>
      </c>
      <c r="N24" s="29" t="str">
        <f t="shared" si="3"/>
        <v/>
      </c>
      <c r="O24" s="30" t="str">
        <f t="shared" si="3"/>
        <v/>
      </c>
      <c r="R24" s="115"/>
      <c r="S24" s="116"/>
      <c r="T24" s="116"/>
      <c r="U24" s="116"/>
      <c r="V24" s="116"/>
      <c r="W24" s="116"/>
      <c r="X24" s="116"/>
      <c r="Y24" s="116"/>
      <c r="Z24" s="116"/>
      <c r="AA24" s="116"/>
      <c r="AB24" s="116"/>
      <c r="AC24" s="116"/>
      <c r="AD24" s="116"/>
      <c r="AE24" s="116"/>
      <c r="AF24" s="116"/>
      <c r="AG24" s="116"/>
      <c r="AH24" s="116"/>
      <c r="AI24" s="117"/>
      <c r="AJ24" s="7"/>
      <c r="AK24" s="7"/>
      <c r="AL24" s="7"/>
      <c r="AM24" s="7"/>
      <c r="AN24" s="7"/>
      <c r="AO24" s="7"/>
      <c r="AP24" s="7"/>
      <c r="AQ24" s="7"/>
    </row>
    <row r="25" spans="2:52" ht="51.75" customHeight="1" thickBot="1" x14ac:dyDescent="0.25">
      <c r="B25" s="101"/>
      <c r="C25" s="16" t="s">
        <v>93</v>
      </c>
      <c r="D25" s="31">
        <v>0.35</v>
      </c>
      <c r="E25" s="31">
        <v>0.79</v>
      </c>
      <c r="F25" s="31">
        <v>1.24</v>
      </c>
      <c r="G25" s="31">
        <v>1.65</v>
      </c>
      <c r="H25" s="31">
        <v>1.98</v>
      </c>
      <c r="I25" s="31" t="s">
        <v>94</v>
      </c>
      <c r="J25" s="31">
        <f>2.39+0.4</f>
        <v>2.79</v>
      </c>
      <c r="K25" s="31"/>
      <c r="L25" s="31"/>
      <c r="M25" s="31"/>
      <c r="N25" s="31"/>
      <c r="O25" s="31"/>
      <c r="R25" s="118"/>
      <c r="S25" s="119"/>
      <c r="T25" s="119"/>
      <c r="U25" s="119"/>
      <c r="V25" s="119"/>
      <c r="W25" s="119"/>
      <c r="X25" s="119"/>
      <c r="Y25" s="119"/>
      <c r="Z25" s="119"/>
      <c r="AA25" s="119"/>
      <c r="AB25" s="119"/>
      <c r="AC25" s="119"/>
      <c r="AD25" s="119"/>
      <c r="AE25" s="119"/>
      <c r="AF25" s="119"/>
      <c r="AG25" s="119"/>
      <c r="AH25" s="119"/>
      <c r="AI25" s="120"/>
      <c r="AJ25" s="7"/>
      <c r="AK25" s="7"/>
      <c r="AL25" s="7"/>
      <c r="AM25" s="7"/>
      <c r="AN25" s="7"/>
      <c r="AO25" s="7"/>
      <c r="AP25" s="7"/>
      <c r="AQ25" s="7"/>
    </row>
    <row r="26" spans="2:52" ht="35.1" customHeight="1" x14ac:dyDescent="0.2">
      <c r="B26" s="101"/>
      <c r="C26" s="16" t="s">
        <v>42</v>
      </c>
      <c r="D26" s="32">
        <v>10604</v>
      </c>
      <c r="E26" s="32">
        <v>11417</v>
      </c>
      <c r="F26" s="32">
        <v>11902</v>
      </c>
      <c r="G26" s="32">
        <v>12176</v>
      </c>
      <c r="H26" s="32">
        <v>12285</v>
      </c>
      <c r="I26" s="32">
        <v>12156</v>
      </c>
      <c r="J26" s="32">
        <v>10727</v>
      </c>
      <c r="K26" s="32"/>
      <c r="L26" s="32"/>
      <c r="M26" s="32"/>
      <c r="N26" s="32"/>
      <c r="O26" s="33"/>
      <c r="R26" s="34"/>
      <c r="S26" s="34"/>
      <c r="T26" s="34"/>
      <c r="U26" s="34"/>
      <c r="V26" s="34"/>
      <c r="W26" s="34"/>
      <c r="X26" s="34"/>
      <c r="Y26" s="34"/>
      <c r="Z26" s="34"/>
      <c r="AA26" s="34"/>
      <c r="AB26" s="34"/>
      <c r="AC26" s="34"/>
      <c r="AD26" s="34"/>
      <c r="AE26" s="34"/>
      <c r="AF26" s="34"/>
      <c r="AG26" s="34"/>
    </row>
    <row r="27" spans="2:52" ht="35.1" customHeight="1" x14ac:dyDescent="0.2">
      <c r="B27" s="102"/>
      <c r="C27" s="35" t="s">
        <v>43</v>
      </c>
      <c r="D27" s="36">
        <f>((D21+D16)*8)</f>
        <v>0</v>
      </c>
      <c r="E27" s="36">
        <f>((E21+E16)*8)</f>
        <v>0</v>
      </c>
      <c r="F27" s="36">
        <f>((F21+F16)*8)</f>
        <v>0</v>
      </c>
      <c r="G27" s="36">
        <f>((G21+G16)*8)</f>
        <v>0</v>
      </c>
      <c r="H27" s="36">
        <f t="shared" ref="H27:O27" si="4">+H16*8</f>
        <v>0</v>
      </c>
      <c r="I27" s="36">
        <f t="shared" si="4"/>
        <v>96</v>
      </c>
      <c r="J27" s="36">
        <f t="shared" si="4"/>
        <v>0</v>
      </c>
      <c r="K27" s="36">
        <f t="shared" si="4"/>
        <v>0</v>
      </c>
      <c r="L27" s="36">
        <f t="shared" si="4"/>
        <v>0</v>
      </c>
      <c r="M27" s="36">
        <f t="shared" si="4"/>
        <v>0</v>
      </c>
      <c r="N27" s="36">
        <f t="shared" si="4"/>
        <v>0</v>
      </c>
      <c r="O27" s="37">
        <f t="shared" si="4"/>
        <v>0</v>
      </c>
      <c r="R27" s="34"/>
      <c r="S27" s="34"/>
      <c r="T27" s="34"/>
      <c r="U27" s="34"/>
      <c r="V27" s="34"/>
      <c r="W27" s="34"/>
      <c r="X27" s="34"/>
      <c r="Y27" s="34"/>
      <c r="Z27" s="34"/>
      <c r="AA27" s="34"/>
      <c r="AB27" s="34"/>
      <c r="AC27" s="34"/>
      <c r="AD27" s="34"/>
      <c r="AE27" s="34"/>
      <c r="AF27" s="34"/>
      <c r="AG27" s="34"/>
    </row>
    <row r="28" spans="2:52" ht="35.1" customHeight="1" x14ac:dyDescent="0.2">
      <c r="B28" s="121" t="s">
        <v>44</v>
      </c>
      <c r="C28" s="38" t="s">
        <v>45</v>
      </c>
      <c r="D28" s="39">
        <f>+D26</f>
        <v>10604</v>
      </c>
      <c r="E28" s="39">
        <f>+D28+E26</f>
        <v>22021</v>
      </c>
      <c r="F28" s="39">
        <f t="shared" ref="F28:O28" si="5">+E28+F26</f>
        <v>33923</v>
      </c>
      <c r="G28" s="39">
        <f t="shared" si="5"/>
        <v>46099</v>
      </c>
      <c r="H28" s="39">
        <f t="shared" si="5"/>
        <v>58384</v>
      </c>
      <c r="I28" s="39">
        <f t="shared" si="5"/>
        <v>70540</v>
      </c>
      <c r="J28" s="39">
        <f t="shared" si="5"/>
        <v>81267</v>
      </c>
      <c r="K28" s="39">
        <f t="shared" si="5"/>
        <v>81267</v>
      </c>
      <c r="L28" s="39">
        <f t="shared" si="5"/>
        <v>81267</v>
      </c>
      <c r="M28" s="39">
        <f t="shared" si="5"/>
        <v>81267</v>
      </c>
      <c r="N28" s="39">
        <f t="shared" si="5"/>
        <v>81267</v>
      </c>
      <c r="O28" s="40">
        <f t="shared" si="5"/>
        <v>81267</v>
      </c>
      <c r="R28" s="67"/>
      <c r="S28" s="34"/>
      <c r="T28" s="34"/>
      <c r="U28" s="34"/>
      <c r="V28" s="34"/>
      <c r="W28" s="34"/>
      <c r="X28" s="34"/>
      <c r="Y28" s="34"/>
      <c r="Z28" s="34"/>
      <c r="AA28" s="34"/>
      <c r="AB28" s="34"/>
      <c r="AC28" s="34"/>
      <c r="AD28" s="34"/>
      <c r="AE28" s="34"/>
      <c r="AF28" s="34"/>
      <c r="AG28" s="34"/>
    </row>
    <row r="29" spans="2:52" ht="35.1" customHeight="1" x14ac:dyDescent="0.2">
      <c r="B29" s="122"/>
      <c r="C29" s="38" t="s">
        <v>46</v>
      </c>
      <c r="D29" s="41">
        <f>+D14+D18</f>
        <v>0</v>
      </c>
      <c r="E29" s="41">
        <f t="shared" ref="E29:O29" si="6">+E14+E18</f>
        <v>0</v>
      </c>
      <c r="F29" s="41">
        <f t="shared" si="6"/>
        <v>0</v>
      </c>
      <c r="G29" s="41">
        <f t="shared" si="6"/>
        <v>0</v>
      </c>
      <c r="H29" s="41">
        <f t="shared" si="6"/>
        <v>0</v>
      </c>
      <c r="I29" s="41">
        <f t="shared" si="6"/>
        <v>1</v>
      </c>
      <c r="J29" s="41">
        <f t="shared" si="6"/>
        <v>0</v>
      </c>
      <c r="K29" s="41">
        <f t="shared" si="6"/>
        <v>0</v>
      </c>
      <c r="L29" s="41">
        <f t="shared" si="6"/>
        <v>0</v>
      </c>
      <c r="M29" s="41">
        <f t="shared" si="6"/>
        <v>0</v>
      </c>
      <c r="N29" s="41">
        <f t="shared" si="6"/>
        <v>0</v>
      </c>
      <c r="O29" s="41">
        <f t="shared" si="6"/>
        <v>0</v>
      </c>
      <c r="R29" s="67"/>
      <c r="S29" s="42"/>
      <c r="T29" s="42"/>
      <c r="U29" s="42"/>
      <c r="V29" s="42"/>
      <c r="W29" s="42"/>
      <c r="X29" s="42"/>
      <c r="Y29" s="42"/>
      <c r="Z29" s="42"/>
      <c r="AA29" s="42"/>
      <c r="AB29" s="42"/>
      <c r="AC29" s="42"/>
      <c r="AD29" s="42"/>
      <c r="AE29" s="42"/>
      <c r="AF29" s="42"/>
      <c r="AG29" s="42"/>
    </row>
    <row r="30" spans="2:52" ht="35.1" customHeight="1" x14ac:dyDescent="0.2">
      <c r="B30" s="122"/>
      <c r="C30" s="38" t="s">
        <v>47</v>
      </c>
      <c r="D30" s="41">
        <f>+D16+D21</f>
        <v>0</v>
      </c>
      <c r="E30" s="41">
        <f t="shared" ref="E30:O30" si="7">+E16+E21</f>
        <v>0</v>
      </c>
      <c r="F30" s="41">
        <f t="shared" si="7"/>
        <v>0</v>
      </c>
      <c r="G30" s="41">
        <f t="shared" si="7"/>
        <v>0</v>
      </c>
      <c r="H30" s="41">
        <f t="shared" si="7"/>
        <v>0</v>
      </c>
      <c r="I30" s="41">
        <f t="shared" si="7"/>
        <v>12</v>
      </c>
      <c r="J30" s="41">
        <f t="shared" si="7"/>
        <v>0</v>
      </c>
      <c r="K30" s="41">
        <f t="shared" si="7"/>
        <v>0</v>
      </c>
      <c r="L30" s="41">
        <f t="shared" si="7"/>
        <v>0</v>
      </c>
      <c r="M30" s="41">
        <f t="shared" si="7"/>
        <v>0</v>
      </c>
      <c r="N30" s="41">
        <f t="shared" si="7"/>
        <v>0</v>
      </c>
      <c r="O30" s="41">
        <f t="shared" si="7"/>
        <v>0</v>
      </c>
      <c r="R30" s="42"/>
      <c r="S30" s="42"/>
      <c r="T30" s="42"/>
      <c r="U30" s="42"/>
      <c r="V30" s="42"/>
      <c r="W30" s="42"/>
      <c r="X30" s="42"/>
      <c r="Y30" s="42"/>
      <c r="Z30" s="42"/>
      <c r="AA30" s="42"/>
      <c r="AB30" s="42"/>
      <c r="AC30" s="42"/>
      <c r="AD30" s="42"/>
      <c r="AE30" s="42"/>
      <c r="AF30" s="42"/>
      <c r="AG30" s="42"/>
    </row>
    <row r="31" spans="2:52" ht="37.5" customHeight="1" x14ac:dyDescent="0.2">
      <c r="B31" s="123"/>
      <c r="C31" s="43" t="s">
        <v>43</v>
      </c>
      <c r="D31" s="44">
        <f>+D27</f>
        <v>0</v>
      </c>
      <c r="E31" s="44">
        <f>+D31+E27</f>
        <v>0</v>
      </c>
      <c r="F31" s="44">
        <f t="shared" ref="F31:O31" si="8">+E31+F27</f>
        <v>0</v>
      </c>
      <c r="G31" s="44">
        <f t="shared" si="8"/>
        <v>0</v>
      </c>
      <c r="H31" s="44">
        <f t="shared" si="8"/>
        <v>0</v>
      </c>
      <c r="I31" s="44">
        <f t="shared" si="8"/>
        <v>96</v>
      </c>
      <c r="J31" s="44">
        <f t="shared" si="8"/>
        <v>96</v>
      </c>
      <c r="K31" s="44">
        <f t="shared" si="8"/>
        <v>96</v>
      </c>
      <c r="L31" s="44">
        <f t="shared" si="8"/>
        <v>96</v>
      </c>
      <c r="M31" s="44">
        <f t="shared" si="8"/>
        <v>96</v>
      </c>
      <c r="N31" s="44">
        <f t="shared" si="8"/>
        <v>96</v>
      </c>
      <c r="O31" s="45">
        <f t="shared" si="8"/>
        <v>96</v>
      </c>
      <c r="R31" s="42"/>
      <c r="S31" s="42"/>
      <c r="T31" s="42"/>
      <c r="U31" s="42"/>
      <c r="V31" s="42"/>
      <c r="W31" s="42"/>
      <c r="X31" s="42"/>
      <c r="Y31" s="42"/>
      <c r="Z31" s="42"/>
      <c r="AA31" s="42"/>
      <c r="AB31" s="42"/>
      <c r="AC31" s="42"/>
      <c r="AD31" s="42"/>
      <c r="AE31" s="42"/>
      <c r="AF31" s="42"/>
      <c r="AG31" s="42"/>
    </row>
    <row r="33" spans="3:54" ht="37.5" x14ac:dyDescent="0.2">
      <c r="C33" s="57" t="s">
        <v>1</v>
      </c>
      <c r="D33" s="141" t="s">
        <v>48</v>
      </c>
      <c r="E33" s="142"/>
      <c r="F33" s="143" t="s">
        <v>2</v>
      </c>
      <c r="G33" s="144"/>
      <c r="H33" s="144"/>
      <c r="I33" s="144"/>
      <c r="J33" s="144"/>
      <c r="K33" s="144"/>
      <c r="L33" s="145"/>
      <c r="M33" s="143" t="s">
        <v>3</v>
      </c>
      <c r="N33" s="145"/>
      <c r="O33" s="64" t="s">
        <v>4</v>
      </c>
      <c r="P33" s="65"/>
      <c r="Q33" s="146" t="s">
        <v>49</v>
      </c>
      <c r="R33" s="147"/>
      <c r="S33" s="146" t="s">
        <v>6</v>
      </c>
      <c r="T33" s="147"/>
      <c r="U33" s="58" t="s">
        <v>7</v>
      </c>
      <c r="V33" s="58" t="s">
        <v>8</v>
      </c>
      <c r="W33" s="58" t="s">
        <v>9</v>
      </c>
      <c r="X33" s="58" t="s">
        <v>10</v>
      </c>
      <c r="Y33" s="58" t="s">
        <v>11</v>
      </c>
      <c r="Z33" s="58" t="s">
        <v>12</v>
      </c>
      <c r="AA33" s="58" t="s">
        <v>13</v>
      </c>
      <c r="AB33" s="58" t="s">
        <v>14</v>
      </c>
      <c r="AC33" s="58" t="s">
        <v>15</v>
      </c>
      <c r="AD33" s="58" t="s">
        <v>16</v>
      </c>
      <c r="AE33" s="58" t="s">
        <v>17</v>
      </c>
      <c r="AF33" s="58" t="s">
        <v>18</v>
      </c>
      <c r="AG33" s="58" t="s">
        <v>5</v>
      </c>
      <c r="AH33" s="127" t="s">
        <v>50</v>
      </c>
      <c r="AI33" s="128"/>
      <c r="AJ33" s="128"/>
      <c r="AK33" s="128"/>
      <c r="AL33" s="128"/>
      <c r="AM33" s="128"/>
      <c r="AN33" s="129"/>
      <c r="AO33" s="130" t="s">
        <v>51</v>
      </c>
      <c r="AP33" s="131"/>
      <c r="AQ33" s="131"/>
      <c r="AR33" s="131"/>
      <c r="AS33" s="131"/>
      <c r="AT33" s="131"/>
      <c r="AU33" s="131"/>
      <c r="AV33" s="131"/>
      <c r="AW33" s="131"/>
      <c r="AX33" s="131"/>
      <c r="AY33" s="131"/>
      <c r="AZ33" s="131"/>
      <c r="BA33" s="131"/>
      <c r="BB33" s="131"/>
    </row>
    <row r="34" spans="3:54" ht="35.1" customHeight="1" x14ac:dyDescent="0.2">
      <c r="C34" s="46" t="s">
        <v>32</v>
      </c>
      <c r="D34" s="132" t="s">
        <v>52</v>
      </c>
      <c r="E34" s="133"/>
      <c r="F34" s="132" t="s">
        <v>91</v>
      </c>
      <c r="G34" s="134"/>
      <c r="H34" s="134"/>
      <c r="I34" s="134"/>
      <c r="J34" s="134"/>
      <c r="K34" s="134"/>
      <c r="L34" s="133"/>
      <c r="M34" s="132" t="s">
        <v>53</v>
      </c>
      <c r="N34" s="133"/>
      <c r="O34" s="59" t="s">
        <v>22</v>
      </c>
      <c r="P34" s="60"/>
      <c r="Q34" s="132" t="s">
        <v>54</v>
      </c>
      <c r="R34" s="133"/>
      <c r="S34" s="76" t="s">
        <v>86</v>
      </c>
      <c r="T34" s="77"/>
      <c r="U34" s="47">
        <v>0</v>
      </c>
      <c r="V34" s="47">
        <v>0</v>
      </c>
      <c r="W34" s="47">
        <v>0</v>
      </c>
      <c r="X34" s="47">
        <v>0</v>
      </c>
      <c r="Y34" s="47"/>
      <c r="Z34" s="47"/>
      <c r="AA34" s="47"/>
      <c r="AB34" s="47"/>
      <c r="AC34" s="47"/>
      <c r="AD34" s="47"/>
      <c r="AE34" s="47"/>
      <c r="AF34" s="47"/>
      <c r="AG34" s="48"/>
      <c r="AH34" s="135"/>
      <c r="AI34" s="136"/>
      <c r="AJ34" s="136"/>
      <c r="AK34" s="136"/>
      <c r="AL34" s="136"/>
      <c r="AM34" s="136"/>
      <c r="AN34" s="137"/>
      <c r="AO34" s="138"/>
      <c r="AP34" s="139"/>
      <c r="AQ34" s="139"/>
      <c r="AR34" s="139"/>
      <c r="AS34" s="139"/>
      <c r="AT34" s="139"/>
      <c r="AU34" s="139"/>
      <c r="AV34" s="139"/>
      <c r="AW34" s="139"/>
      <c r="AX34" s="139"/>
      <c r="AY34" s="139"/>
      <c r="AZ34" s="139"/>
      <c r="BA34" s="139"/>
      <c r="BB34" s="140"/>
    </row>
    <row r="35" spans="3:54" ht="39" customHeight="1" x14ac:dyDescent="0.2">
      <c r="C35" s="46" t="s">
        <v>31</v>
      </c>
      <c r="D35" s="132" t="s">
        <v>52</v>
      </c>
      <c r="E35" s="133"/>
      <c r="F35" s="132" t="s">
        <v>92</v>
      </c>
      <c r="G35" s="134"/>
      <c r="H35" s="134"/>
      <c r="I35" s="134"/>
      <c r="J35" s="134"/>
      <c r="K35" s="134"/>
      <c r="L35" s="133"/>
      <c r="M35" s="132" t="s">
        <v>55</v>
      </c>
      <c r="N35" s="133"/>
      <c r="O35" s="59" t="s">
        <v>22</v>
      </c>
      <c r="P35" s="60"/>
      <c r="Q35" s="132" t="s">
        <v>54</v>
      </c>
      <c r="R35" s="133"/>
      <c r="S35" s="76" t="s">
        <v>86</v>
      </c>
      <c r="T35" s="77"/>
      <c r="U35" s="47">
        <v>0</v>
      </c>
      <c r="V35" s="47">
        <v>0</v>
      </c>
      <c r="W35" s="47">
        <v>0</v>
      </c>
      <c r="X35" s="47">
        <v>0</v>
      </c>
      <c r="Y35" s="47"/>
      <c r="Z35" s="47"/>
      <c r="AA35" s="47"/>
      <c r="AB35" s="47"/>
      <c r="AC35" s="47"/>
      <c r="AD35" s="47"/>
      <c r="AE35" s="47"/>
      <c r="AF35" s="47"/>
      <c r="AG35" s="48"/>
      <c r="AH35" s="135"/>
      <c r="AI35" s="136"/>
      <c r="AJ35" s="136"/>
      <c r="AK35" s="136"/>
      <c r="AL35" s="136"/>
      <c r="AM35" s="136"/>
      <c r="AN35" s="137"/>
      <c r="AO35" s="138"/>
      <c r="AP35" s="139"/>
      <c r="AQ35" s="139"/>
      <c r="AR35" s="139"/>
      <c r="AS35" s="139"/>
      <c r="AT35" s="139"/>
      <c r="AU35" s="139"/>
      <c r="AV35" s="139"/>
      <c r="AW35" s="139"/>
      <c r="AX35" s="139"/>
      <c r="AY35" s="139"/>
      <c r="AZ35" s="139"/>
      <c r="BA35" s="139"/>
      <c r="BB35" s="140"/>
    </row>
    <row r="36" spans="3:54" ht="39" customHeight="1" x14ac:dyDescent="0.2">
      <c r="C36" s="46" t="s">
        <v>87</v>
      </c>
      <c r="D36" s="132" t="s">
        <v>52</v>
      </c>
      <c r="E36" s="133"/>
      <c r="F36" s="132" t="s">
        <v>88</v>
      </c>
      <c r="G36" s="134"/>
      <c r="H36" s="134"/>
      <c r="I36" s="134"/>
      <c r="J36" s="134"/>
      <c r="K36" s="134"/>
      <c r="L36" s="133"/>
      <c r="M36" s="132" t="s">
        <v>89</v>
      </c>
      <c r="N36" s="133"/>
      <c r="O36" s="132" t="s">
        <v>90</v>
      </c>
      <c r="P36" s="133"/>
      <c r="Q36" s="132" t="s">
        <v>54</v>
      </c>
      <c r="R36" s="133"/>
      <c r="S36" s="76" t="s">
        <v>86</v>
      </c>
      <c r="T36" s="77"/>
      <c r="U36" s="47">
        <v>0</v>
      </c>
      <c r="V36" s="47">
        <v>0</v>
      </c>
      <c r="W36" s="47">
        <v>0</v>
      </c>
      <c r="X36" s="47">
        <v>0</v>
      </c>
      <c r="Y36" s="47"/>
      <c r="Z36" s="47"/>
      <c r="AA36" s="47"/>
      <c r="AB36" s="47"/>
      <c r="AC36" s="47"/>
      <c r="AD36" s="47"/>
      <c r="AE36" s="47"/>
      <c r="AF36" s="47"/>
      <c r="AG36" s="48"/>
      <c r="AH36" s="69"/>
      <c r="AI36" s="70"/>
      <c r="AJ36" s="70"/>
      <c r="AK36" s="70"/>
      <c r="AL36" s="70"/>
      <c r="AM36" s="70"/>
      <c r="AN36" s="71"/>
      <c r="AO36" s="72"/>
      <c r="AP36" s="73"/>
      <c r="AQ36" s="73"/>
      <c r="AR36" s="73"/>
      <c r="AS36" s="73"/>
      <c r="AT36" s="73"/>
      <c r="AU36" s="73"/>
      <c r="AV36" s="73"/>
      <c r="AW36" s="73"/>
      <c r="AX36" s="73"/>
      <c r="AY36" s="73"/>
      <c r="AZ36" s="73"/>
      <c r="BA36" s="73"/>
      <c r="BB36" s="74"/>
    </row>
    <row r="37" spans="3:54" ht="15.75" customHeight="1" x14ac:dyDescent="0.2">
      <c r="C37" s="46" t="s">
        <v>57</v>
      </c>
      <c r="D37" s="132" t="s">
        <v>58</v>
      </c>
      <c r="E37" s="133"/>
      <c r="F37" s="132" t="s">
        <v>59</v>
      </c>
      <c r="G37" s="134"/>
      <c r="H37" s="134"/>
      <c r="I37" s="134"/>
      <c r="J37" s="134"/>
      <c r="K37" s="134"/>
      <c r="L37" s="133"/>
      <c r="M37" s="132" t="s">
        <v>56</v>
      </c>
      <c r="N37" s="133"/>
      <c r="O37" s="59" t="s">
        <v>22</v>
      </c>
      <c r="P37" s="60"/>
      <c r="Q37" s="132" t="s">
        <v>54</v>
      </c>
      <c r="R37" s="133"/>
      <c r="S37" s="76" t="s">
        <v>86</v>
      </c>
      <c r="T37" s="77"/>
      <c r="U37" s="47">
        <v>0</v>
      </c>
      <c r="V37" s="47">
        <v>0</v>
      </c>
      <c r="W37" s="47">
        <v>0</v>
      </c>
      <c r="X37" s="47">
        <v>0</v>
      </c>
      <c r="Y37" s="47"/>
      <c r="Z37" s="47"/>
      <c r="AA37" s="47"/>
      <c r="AB37" s="47"/>
      <c r="AC37" s="47"/>
      <c r="AD37" s="47"/>
      <c r="AE37" s="47"/>
      <c r="AF37" s="47"/>
      <c r="AG37" s="48"/>
      <c r="AH37" s="63"/>
      <c r="AI37" s="61"/>
      <c r="AJ37" s="61"/>
      <c r="AK37" s="61"/>
      <c r="AL37" s="61"/>
      <c r="AM37" s="61"/>
      <c r="AN37" s="62"/>
      <c r="AO37" s="138"/>
      <c r="AP37" s="139"/>
      <c r="AQ37" s="139"/>
      <c r="AR37" s="139"/>
      <c r="AS37" s="139"/>
      <c r="AT37" s="139"/>
      <c r="AU37" s="139"/>
      <c r="AV37" s="139"/>
      <c r="AW37" s="139"/>
      <c r="AX37" s="139"/>
      <c r="AY37" s="139"/>
      <c r="AZ37" s="139"/>
      <c r="BA37" s="139"/>
      <c r="BB37" s="140"/>
    </row>
    <row r="38" spans="3:54" ht="57" customHeight="1" x14ac:dyDescent="0.2">
      <c r="C38" s="46" t="s">
        <v>60</v>
      </c>
      <c r="D38" s="132" t="s">
        <v>58</v>
      </c>
      <c r="E38" s="133"/>
      <c r="F38" s="132" t="s">
        <v>61</v>
      </c>
      <c r="G38" s="134"/>
      <c r="H38" s="134"/>
      <c r="I38" s="134"/>
      <c r="J38" s="134"/>
      <c r="K38" s="134"/>
      <c r="L38" s="133"/>
      <c r="M38" s="132" t="s">
        <v>56</v>
      </c>
      <c r="N38" s="133"/>
      <c r="O38" s="59" t="s">
        <v>22</v>
      </c>
      <c r="P38" s="60"/>
      <c r="Q38" s="132" t="s">
        <v>54</v>
      </c>
      <c r="R38" s="133"/>
      <c r="S38" s="76" t="s">
        <v>86</v>
      </c>
      <c r="T38" s="77"/>
      <c r="U38" s="47">
        <v>0</v>
      </c>
      <c r="V38" s="47">
        <v>0</v>
      </c>
      <c r="W38" s="47">
        <v>0</v>
      </c>
      <c r="X38" s="47">
        <v>0</v>
      </c>
      <c r="Y38" s="47"/>
      <c r="Z38" s="47"/>
      <c r="AA38" s="47"/>
      <c r="AB38" s="47"/>
      <c r="AC38" s="47"/>
      <c r="AD38" s="47"/>
      <c r="AE38" s="47"/>
      <c r="AF38" s="47"/>
      <c r="AG38" s="48"/>
      <c r="AH38" s="63"/>
      <c r="AI38" s="61"/>
      <c r="AJ38" s="61"/>
      <c r="AK38" s="61"/>
      <c r="AL38" s="61"/>
      <c r="AM38" s="61"/>
      <c r="AN38" s="62"/>
      <c r="AO38" s="138"/>
      <c r="AP38" s="139"/>
      <c r="AQ38" s="139"/>
      <c r="AR38" s="139"/>
      <c r="AS38" s="139"/>
      <c r="AT38" s="139"/>
      <c r="AU38" s="139"/>
      <c r="AV38" s="139"/>
      <c r="AW38" s="139"/>
      <c r="AX38" s="139"/>
      <c r="AY38" s="139"/>
      <c r="AZ38" s="139"/>
      <c r="BA38" s="139"/>
      <c r="BB38" s="140"/>
    </row>
    <row r="39" spans="3:54" ht="48" customHeight="1" x14ac:dyDescent="0.2">
      <c r="C39" s="46" t="s">
        <v>62</v>
      </c>
      <c r="D39" s="132" t="s">
        <v>52</v>
      </c>
      <c r="E39" s="133"/>
      <c r="F39" s="132" t="s">
        <v>63</v>
      </c>
      <c r="G39" s="134"/>
      <c r="H39" s="134"/>
      <c r="I39" s="134"/>
      <c r="J39" s="134"/>
      <c r="K39" s="134"/>
      <c r="L39" s="133"/>
      <c r="M39" s="132" t="s">
        <v>19</v>
      </c>
      <c r="N39" s="133"/>
      <c r="O39" s="59" t="s">
        <v>22</v>
      </c>
      <c r="P39" s="60"/>
      <c r="Q39" s="132" t="s">
        <v>54</v>
      </c>
      <c r="R39" s="133"/>
      <c r="S39" s="76" t="s">
        <v>86</v>
      </c>
      <c r="T39" s="77"/>
      <c r="U39" s="49">
        <v>0</v>
      </c>
      <c r="V39" s="49">
        <v>0</v>
      </c>
      <c r="W39" s="49">
        <v>0</v>
      </c>
      <c r="X39" s="49">
        <v>0</v>
      </c>
      <c r="Y39" s="49"/>
      <c r="Z39" s="49"/>
      <c r="AA39" s="49"/>
      <c r="AB39" s="49"/>
      <c r="AC39" s="49"/>
      <c r="AD39" s="49"/>
      <c r="AE39" s="49"/>
      <c r="AF39" s="49"/>
      <c r="AG39" s="50"/>
      <c r="AH39" s="135"/>
      <c r="AI39" s="136"/>
      <c r="AJ39" s="136"/>
      <c r="AK39" s="136"/>
      <c r="AL39" s="136"/>
      <c r="AM39" s="136"/>
      <c r="AN39" s="137"/>
      <c r="AO39" s="138"/>
      <c r="AP39" s="139"/>
      <c r="AQ39" s="139"/>
      <c r="AR39" s="139"/>
      <c r="AS39" s="139"/>
      <c r="AT39" s="139"/>
      <c r="AU39" s="139"/>
      <c r="AV39" s="139"/>
      <c r="AW39" s="139"/>
      <c r="AX39" s="139"/>
      <c r="AY39" s="139"/>
      <c r="AZ39" s="139"/>
      <c r="BA39" s="139"/>
      <c r="BB39" s="140"/>
    </row>
    <row r="40" spans="3:54" ht="51.75" customHeight="1" x14ac:dyDescent="0.2">
      <c r="C40" s="46" t="s">
        <v>64</v>
      </c>
      <c r="D40" s="132" t="s">
        <v>65</v>
      </c>
      <c r="E40" s="133"/>
      <c r="F40" s="132" t="s">
        <v>66</v>
      </c>
      <c r="G40" s="134"/>
      <c r="H40" s="134"/>
      <c r="I40" s="134"/>
      <c r="J40" s="134"/>
      <c r="K40" s="134"/>
      <c r="L40" s="133"/>
      <c r="M40" s="132" t="s">
        <v>19</v>
      </c>
      <c r="N40" s="133"/>
      <c r="O40" s="59" t="s">
        <v>22</v>
      </c>
      <c r="P40" s="60"/>
      <c r="Q40" s="132" t="s">
        <v>0</v>
      </c>
      <c r="R40" s="133"/>
      <c r="S40" s="76" t="s">
        <v>86</v>
      </c>
      <c r="T40" s="77"/>
      <c r="U40" s="50"/>
      <c r="V40" s="50"/>
      <c r="W40" s="50"/>
      <c r="X40" s="50"/>
      <c r="Y40" s="50"/>
      <c r="Z40" s="50"/>
      <c r="AA40" s="50"/>
      <c r="AB40" s="50"/>
      <c r="AC40" s="50"/>
      <c r="AD40" s="50"/>
      <c r="AE40" s="50"/>
      <c r="AF40" s="50"/>
      <c r="AG40" s="50"/>
      <c r="AH40" s="148"/>
      <c r="AI40" s="136"/>
      <c r="AJ40" s="136"/>
      <c r="AK40" s="136"/>
      <c r="AL40" s="136"/>
      <c r="AM40" s="136"/>
      <c r="AN40" s="137"/>
      <c r="AO40" s="138"/>
      <c r="AP40" s="139"/>
      <c r="AQ40" s="139"/>
      <c r="AR40" s="139"/>
      <c r="AS40" s="139"/>
      <c r="AT40" s="139"/>
      <c r="AU40" s="139"/>
      <c r="AV40" s="139"/>
      <c r="AW40" s="139"/>
      <c r="AX40" s="139"/>
      <c r="AY40" s="139"/>
      <c r="AZ40" s="139"/>
      <c r="BA40" s="139"/>
      <c r="BB40" s="140"/>
    </row>
    <row r="41" spans="3:54" ht="15.75" x14ac:dyDescent="0.2">
      <c r="C41" s="47" t="s">
        <v>67</v>
      </c>
      <c r="D41" s="132" t="s">
        <v>68</v>
      </c>
      <c r="E41" s="133"/>
      <c r="F41" s="132" t="s">
        <v>69</v>
      </c>
      <c r="G41" s="134"/>
      <c r="H41" s="134"/>
      <c r="I41" s="134"/>
      <c r="J41" s="134"/>
      <c r="K41" s="134"/>
      <c r="L41" s="133"/>
      <c r="M41" s="132" t="s">
        <v>19</v>
      </c>
      <c r="N41" s="133"/>
      <c r="O41" s="59" t="s">
        <v>22</v>
      </c>
      <c r="P41" s="60"/>
      <c r="Q41" s="132" t="s">
        <v>70</v>
      </c>
      <c r="R41" s="133"/>
      <c r="S41" s="76" t="s">
        <v>71</v>
      </c>
      <c r="T41" s="77"/>
      <c r="U41" s="50">
        <v>0.01</v>
      </c>
      <c r="V41" s="50">
        <v>0.01</v>
      </c>
      <c r="W41" s="50">
        <v>0.01</v>
      </c>
      <c r="X41" s="50">
        <v>0.01</v>
      </c>
      <c r="Y41" s="50"/>
      <c r="Z41" s="50"/>
      <c r="AA41" s="50"/>
      <c r="AB41" s="50"/>
      <c r="AC41" s="50"/>
      <c r="AD41" s="50"/>
      <c r="AE41" s="50"/>
      <c r="AF41" s="50"/>
      <c r="AG41" s="50"/>
      <c r="AH41" s="148"/>
      <c r="AI41" s="149"/>
      <c r="AJ41" s="149"/>
      <c r="AK41" s="149"/>
      <c r="AL41" s="149"/>
      <c r="AM41" s="149"/>
      <c r="AN41" s="150"/>
      <c r="AO41" s="138"/>
      <c r="AP41" s="139"/>
      <c r="AQ41" s="139"/>
      <c r="AR41" s="139"/>
      <c r="AS41" s="139"/>
      <c r="AT41" s="139"/>
      <c r="AU41" s="139"/>
      <c r="AV41" s="139"/>
      <c r="AW41" s="139"/>
      <c r="AX41" s="139"/>
      <c r="AY41" s="139"/>
      <c r="AZ41" s="139"/>
      <c r="BA41" s="139"/>
      <c r="BB41" s="140"/>
    </row>
    <row r="42" spans="3:54" ht="13.5" customHeight="1" x14ac:dyDescent="0.2">
      <c r="C42" s="47" t="s">
        <v>72</v>
      </c>
      <c r="D42" s="132" t="s">
        <v>73</v>
      </c>
      <c r="E42" s="133"/>
      <c r="F42" s="132" t="s">
        <v>74</v>
      </c>
      <c r="G42" s="134"/>
      <c r="H42" s="134"/>
      <c r="I42" s="134"/>
      <c r="J42" s="134"/>
      <c r="K42" s="134"/>
      <c r="L42" s="133"/>
      <c r="M42" s="132" t="s">
        <v>19</v>
      </c>
      <c r="N42" s="133"/>
      <c r="O42" s="59" t="s">
        <v>20</v>
      </c>
      <c r="P42" s="60"/>
      <c r="Q42" s="132" t="s">
        <v>0</v>
      </c>
      <c r="R42" s="133"/>
      <c r="S42" s="76" t="s">
        <v>86</v>
      </c>
      <c r="T42" s="77"/>
      <c r="U42" s="50">
        <v>0</v>
      </c>
      <c r="V42" s="50">
        <v>0</v>
      </c>
      <c r="W42" s="50">
        <v>0</v>
      </c>
      <c r="X42" s="50">
        <v>0</v>
      </c>
      <c r="Y42" s="50"/>
      <c r="Z42" s="50"/>
      <c r="AA42" s="50"/>
      <c r="AB42" s="50"/>
      <c r="AC42" s="50"/>
      <c r="AD42" s="50"/>
      <c r="AE42" s="50"/>
      <c r="AF42" s="50"/>
      <c r="AG42" s="50"/>
      <c r="AH42" s="148"/>
      <c r="AI42" s="149"/>
      <c r="AJ42" s="149"/>
      <c r="AK42" s="149"/>
      <c r="AL42" s="149"/>
      <c r="AM42" s="149"/>
      <c r="AN42" s="150"/>
      <c r="AO42" s="138"/>
      <c r="AP42" s="139"/>
      <c r="AQ42" s="139"/>
      <c r="AR42" s="139"/>
      <c r="AS42" s="139"/>
      <c r="AT42" s="139"/>
      <c r="AU42" s="139"/>
      <c r="AV42" s="139"/>
      <c r="AW42" s="139"/>
      <c r="AX42" s="139"/>
      <c r="AY42" s="139"/>
      <c r="AZ42" s="139"/>
      <c r="BA42" s="139"/>
      <c r="BB42" s="140"/>
    </row>
    <row r="43" spans="3:54" ht="15.75" customHeight="1" x14ac:dyDescent="0.2">
      <c r="C43" s="46" t="s">
        <v>75</v>
      </c>
      <c r="D43" s="132" t="s">
        <v>76</v>
      </c>
      <c r="E43" s="133"/>
      <c r="F43" s="132" t="s">
        <v>77</v>
      </c>
      <c r="G43" s="134"/>
      <c r="H43" s="134"/>
      <c r="I43" s="134"/>
      <c r="J43" s="134"/>
      <c r="K43" s="134"/>
      <c r="L43" s="133"/>
      <c r="M43" s="132" t="s">
        <v>19</v>
      </c>
      <c r="N43" s="133"/>
      <c r="O43" s="59" t="s">
        <v>22</v>
      </c>
      <c r="P43" s="60"/>
      <c r="Q43" s="132" t="s">
        <v>54</v>
      </c>
      <c r="R43" s="133"/>
      <c r="S43" s="76" t="s">
        <v>86</v>
      </c>
      <c r="T43" s="77"/>
      <c r="U43" s="50">
        <v>0</v>
      </c>
      <c r="V43" s="50">
        <v>0</v>
      </c>
      <c r="W43" s="50">
        <v>0</v>
      </c>
      <c r="X43" s="50">
        <v>0</v>
      </c>
      <c r="Y43" s="50"/>
      <c r="Z43" s="50"/>
      <c r="AA43" s="50"/>
      <c r="AB43" s="50"/>
      <c r="AC43" s="50"/>
      <c r="AD43" s="50"/>
      <c r="AE43" s="50"/>
      <c r="AF43" s="50"/>
      <c r="AG43" s="50"/>
      <c r="AH43" s="148"/>
      <c r="AI43" s="149"/>
      <c r="AJ43" s="149"/>
      <c r="AK43" s="149"/>
      <c r="AL43" s="149"/>
      <c r="AM43" s="149"/>
      <c r="AN43" s="150"/>
      <c r="AO43" s="138"/>
      <c r="AP43" s="139"/>
      <c r="AQ43" s="139"/>
      <c r="AR43" s="139"/>
      <c r="AS43" s="139"/>
      <c r="AT43" s="139"/>
      <c r="AU43" s="139"/>
      <c r="AV43" s="139"/>
      <c r="AW43" s="139"/>
      <c r="AX43" s="139"/>
      <c r="AY43" s="139"/>
      <c r="AZ43" s="139"/>
      <c r="BA43" s="139"/>
      <c r="BB43" s="140"/>
    </row>
    <row r="44" spans="3:54" ht="15.75" customHeight="1" x14ac:dyDescent="0.2">
      <c r="C44" s="46" t="s">
        <v>78</v>
      </c>
      <c r="D44" s="132" t="s">
        <v>76</v>
      </c>
      <c r="E44" s="133"/>
      <c r="F44" s="132" t="s">
        <v>79</v>
      </c>
      <c r="G44" s="134"/>
      <c r="H44" s="134"/>
      <c r="I44" s="134"/>
      <c r="J44" s="134"/>
      <c r="K44" s="134"/>
      <c r="L44" s="133"/>
      <c r="M44" s="132" t="s">
        <v>19</v>
      </c>
      <c r="N44" s="133"/>
      <c r="O44" s="59" t="s">
        <v>22</v>
      </c>
      <c r="P44" s="60"/>
      <c r="Q44" s="132" t="s">
        <v>54</v>
      </c>
      <c r="R44" s="133"/>
      <c r="S44" s="76" t="s">
        <v>86</v>
      </c>
      <c r="T44" s="77"/>
      <c r="U44" s="50">
        <v>0</v>
      </c>
      <c r="V44" s="50">
        <v>0</v>
      </c>
      <c r="W44" s="50">
        <v>0</v>
      </c>
      <c r="X44" s="50">
        <v>0</v>
      </c>
      <c r="Y44" s="50"/>
      <c r="Z44" s="50"/>
      <c r="AA44" s="50"/>
      <c r="AB44" s="50"/>
      <c r="AC44" s="50"/>
      <c r="AD44" s="50"/>
      <c r="AE44" s="50"/>
      <c r="AF44" s="50"/>
      <c r="AG44" s="50"/>
      <c r="AH44" s="148"/>
      <c r="AI44" s="149"/>
      <c r="AJ44" s="149"/>
      <c r="AK44" s="149"/>
      <c r="AL44" s="149"/>
      <c r="AM44" s="149"/>
      <c r="AN44" s="150"/>
      <c r="AO44" s="138"/>
      <c r="AP44" s="139"/>
      <c r="AQ44" s="139"/>
      <c r="AR44" s="139"/>
      <c r="AS44" s="139"/>
      <c r="AT44" s="139"/>
      <c r="AU44" s="139"/>
      <c r="AV44" s="139"/>
      <c r="AW44" s="139"/>
      <c r="AX44" s="139"/>
      <c r="AY44" s="139"/>
      <c r="AZ44" s="139"/>
      <c r="BA44" s="139"/>
      <c r="BB44" s="140"/>
    </row>
    <row r="45" spans="3:54" ht="30" x14ac:dyDescent="0.2">
      <c r="C45" s="46" t="s">
        <v>80</v>
      </c>
      <c r="D45" s="132">
        <v>6</v>
      </c>
      <c r="E45" s="133"/>
      <c r="F45" s="132" t="s">
        <v>81</v>
      </c>
      <c r="G45" s="134"/>
      <c r="H45" s="134"/>
      <c r="I45" s="134"/>
      <c r="J45" s="134"/>
      <c r="K45" s="134"/>
      <c r="L45" s="133"/>
      <c r="M45" s="132" t="s">
        <v>19</v>
      </c>
      <c r="N45" s="133"/>
      <c r="O45" s="59" t="s">
        <v>20</v>
      </c>
      <c r="P45" s="60"/>
      <c r="Q45" s="132" t="s">
        <v>70</v>
      </c>
      <c r="R45" s="133"/>
      <c r="S45" s="76" t="s">
        <v>86</v>
      </c>
      <c r="T45" s="77"/>
      <c r="U45" s="50">
        <v>1</v>
      </c>
      <c r="V45" s="50">
        <v>1</v>
      </c>
      <c r="W45" s="50">
        <v>1</v>
      </c>
      <c r="X45" s="50">
        <v>1</v>
      </c>
      <c r="Y45" s="50"/>
      <c r="Z45" s="50"/>
      <c r="AA45" s="50"/>
      <c r="AB45" s="50"/>
      <c r="AC45" s="50"/>
      <c r="AD45" s="50"/>
      <c r="AE45" s="50"/>
      <c r="AF45" s="50"/>
      <c r="AG45" s="50"/>
      <c r="AH45" s="148"/>
      <c r="AI45" s="149"/>
      <c r="AJ45" s="149"/>
      <c r="AK45" s="149"/>
      <c r="AL45" s="149"/>
      <c r="AM45" s="149"/>
      <c r="AN45" s="150"/>
      <c r="AO45" s="138"/>
      <c r="AP45" s="139"/>
      <c r="AQ45" s="139"/>
      <c r="AR45" s="139"/>
      <c r="AS45" s="139"/>
      <c r="AT45" s="139"/>
      <c r="AU45" s="139"/>
      <c r="AV45" s="139"/>
      <c r="AW45" s="139"/>
      <c r="AX45" s="139"/>
      <c r="AY45" s="139"/>
      <c r="AZ45" s="139"/>
      <c r="BA45" s="139"/>
      <c r="BB45" s="140"/>
    </row>
    <row r="169" spans="3:15" x14ac:dyDescent="0.2">
      <c r="C169" s="51" t="s">
        <v>82</v>
      </c>
      <c r="D169" s="52">
        <f>+AVERAGE(D22:G22)</f>
        <v>0</v>
      </c>
      <c r="E169" s="52">
        <v>1</v>
      </c>
      <c r="F169" s="52">
        <v>1</v>
      </c>
      <c r="G169" s="52">
        <v>1</v>
      </c>
      <c r="H169" s="52">
        <v>1</v>
      </c>
      <c r="I169" s="52">
        <v>1</v>
      </c>
      <c r="J169" s="52">
        <v>1</v>
      </c>
      <c r="K169" s="52">
        <v>1</v>
      </c>
      <c r="L169" s="52">
        <v>1</v>
      </c>
      <c r="M169" s="52">
        <v>1</v>
      </c>
      <c r="N169" s="52">
        <v>1</v>
      </c>
      <c r="O169" s="53">
        <v>1</v>
      </c>
    </row>
    <row r="170" spans="3:15" x14ac:dyDescent="0.2">
      <c r="C170" s="51" t="s">
        <v>83</v>
      </c>
      <c r="D170" s="54">
        <f>2.9/100</f>
        <v>2.8999999999999998E-2</v>
      </c>
      <c r="E170" s="54">
        <f t="shared" ref="E170:O170" si="9">2.9/100</f>
        <v>2.8999999999999998E-2</v>
      </c>
      <c r="F170" s="54">
        <f t="shared" si="9"/>
        <v>2.8999999999999998E-2</v>
      </c>
      <c r="G170" s="54">
        <f t="shared" si="9"/>
        <v>2.8999999999999998E-2</v>
      </c>
      <c r="H170" s="54">
        <f t="shared" si="9"/>
        <v>2.8999999999999998E-2</v>
      </c>
      <c r="I170" s="54">
        <f t="shared" si="9"/>
        <v>2.8999999999999998E-2</v>
      </c>
      <c r="J170" s="54">
        <f t="shared" si="9"/>
        <v>2.8999999999999998E-2</v>
      </c>
      <c r="K170" s="54">
        <f t="shared" si="9"/>
        <v>2.8999999999999998E-2</v>
      </c>
      <c r="L170" s="54">
        <f t="shared" si="9"/>
        <v>2.8999999999999998E-2</v>
      </c>
      <c r="M170" s="54">
        <f t="shared" si="9"/>
        <v>2.8999999999999998E-2</v>
      </c>
      <c r="N170" s="54">
        <f t="shared" si="9"/>
        <v>2.8999999999999998E-2</v>
      </c>
      <c r="O170" s="54">
        <f t="shared" si="9"/>
        <v>2.8999999999999998E-2</v>
      </c>
    </row>
  </sheetData>
  <mergeCells count="101">
    <mergeCell ref="AO45:BB45"/>
    <mergeCell ref="D45:E45"/>
    <mergeCell ref="F45:L45"/>
    <mergeCell ref="M45:N45"/>
    <mergeCell ref="Q45:R45"/>
    <mergeCell ref="S45:T45"/>
    <mergeCell ref="AH45:AN45"/>
    <mergeCell ref="AO43:BB43"/>
    <mergeCell ref="D44:E44"/>
    <mergeCell ref="F44:L44"/>
    <mergeCell ref="M44:N44"/>
    <mergeCell ref="Q44:R44"/>
    <mergeCell ref="S44:T44"/>
    <mergeCell ref="AH44:AN44"/>
    <mergeCell ref="AO44:BB44"/>
    <mergeCell ref="D43:E43"/>
    <mergeCell ref="F43:L43"/>
    <mergeCell ref="M43:N43"/>
    <mergeCell ref="Q43:R43"/>
    <mergeCell ref="S43:T43"/>
    <mergeCell ref="AH43:AN43"/>
    <mergeCell ref="AO41:BB41"/>
    <mergeCell ref="D42:E42"/>
    <mergeCell ref="F42:L42"/>
    <mergeCell ref="M42:N42"/>
    <mergeCell ref="Q42:R42"/>
    <mergeCell ref="S42:T42"/>
    <mergeCell ref="AH42:AN42"/>
    <mergeCell ref="AO42:BB42"/>
    <mergeCell ref="D41:E41"/>
    <mergeCell ref="F41:L41"/>
    <mergeCell ref="M41:N41"/>
    <mergeCell ref="Q41:R41"/>
    <mergeCell ref="S41:T41"/>
    <mergeCell ref="AH41:AN41"/>
    <mergeCell ref="AO39:BB39"/>
    <mergeCell ref="D40:E40"/>
    <mergeCell ref="F40:L40"/>
    <mergeCell ref="M40:N40"/>
    <mergeCell ref="Q40:R40"/>
    <mergeCell ref="S40:T40"/>
    <mergeCell ref="AH40:AN40"/>
    <mergeCell ref="AO40:BB40"/>
    <mergeCell ref="D39:E39"/>
    <mergeCell ref="F39:L39"/>
    <mergeCell ref="M39:N39"/>
    <mergeCell ref="Q39:R39"/>
    <mergeCell ref="S39:T39"/>
    <mergeCell ref="AH39:AN39"/>
    <mergeCell ref="AO35:BB35"/>
    <mergeCell ref="D35:E35"/>
    <mergeCell ref="F35:L35"/>
    <mergeCell ref="M35:N35"/>
    <mergeCell ref="Q35:R35"/>
    <mergeCell ref="S35:T35"/>
    <mergeCell ref="AH35:AN35"/>
    <mergeCell ref="D36:E36"/>
    <mergeCell ref="AO38:BB38"/>
    <mergeCell ref="D37:E37"/>
    <mergeCell ref="F37:L37"/>
    <mergeCell ref="M37:N37"/>
    <mergeCell ref="Q37:R37"/>
    <mergeCell ref="S37:T37"/>
    <mergeCell ref="AO37:BB37"/>
    <mergeCell ref="D38:E38"/>
    <mergeCell ref="F38:L38"/>
    <mergeCell ref="M38:N38"/>
    <mergeCell ref="Q38:R38"/>
    <mergeCell ref="S38:T38"/>
    <mergeCell ref="M36:N36"/>
    <mergeCell ref="F36:L36"/>
    <mergeCell ref="O36:P36"/>
    <mergeCell ref="Q36:R36"/>
    <mergeCell ref="AO33:BB33"/>
    <mergeCell ref="D34:E34"/>
    <mergeCell ref="F34:L34"/>
    <mergeCell ref="M34:N34"/>
    <mergeCell ref="Q34:R34"/>
    <mergeCell ref="S34:T34"/>
    <mergeCell ref="AH34:AN34"/>
    <mergeCell ref="AO34:BB34"/>
    <mergeCell ref="D33:E33"/>
    <mergeCell ref="F33:L33"/>
    <mergeCell ref="M33:N33"/>
    <mergeCell ref="Q33:R33"/>
    <mergeCell ref="S33:T33"/>
    <mergeCell ref="S36:T36"/>
    <mergeCell ref="D5:F5"/>
    <mergeCell ref="B1:C2"/>
    <mergeCell ref="D1:O2"/>
    <mergeCell ref="B4:C4"/>
    <mergeCell ref="D4:F4"/>
    <mergeCell ref="B5:C5"/>
    <mergeCell ref="R6:AI14"/>
    <mergeCell ref="B8:B27"/>
    <mergeCell ref="R16:AI18"/>
    <mergeCell ref="R20:AI25"/>
    <mergeCell ref="B28:B31"/>
    <mergeCell ref="B6:C6"/>
    <mergeCell ref="D13:O13"/>
    <mergeCell ref="AH33:AN33"/>
  </mergeCells>
  <phoneticPr fontId="32" type="noConversion"/>
  <conditionalFormatting sqref="D22:O22">
    <cfRule type="cellIs" dxfId="1" priority="3" operator="equal">
      <formula>0</formula>
    </cfRule>
    <cfRule type="cellIs" dxfId="0" priority="4" operator="greaterThan">
      <formula>0</formula>
    </cfRule>
  </conditionalFormatting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Indicadores 2021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BUSTAMANTE</dc:creator>
  <cp:lastModifiedBy>JOSE LARA OSPINO</cp:lastModifiedBy>
  <dcterms:created xsi:type="dcterms:W3CDTF">2019-09-11T15:06:22Z</dcterms:created>
  <dcterms:modified xsi:type="dcterms:W3CDTF">2021-08-10T15:47:59Z</dcterms:modified>
</cp:coreProperties>
</file>